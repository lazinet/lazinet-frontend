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lazinet-fullstack\lazinet-frontend\public\projects\aLuu-BKHN-TSN\"/>
    </mc:Choice>
  </mc:AlternateContent>
  <xr:revisionPtr revIDLastSave="0" documentId="13_ncr:1_{F0F307E8-DAEE-45B5-B145-8BCECE5A3AD0}" xr6:coauthVersionLast="47" xr6:coauthVersionMax="47" xr10:uidLastSave="{00000000-0000-0000-0000-000000000000}"/>
  <bookViews>
    <workbookView xWindow="-120" yWindow="-120" windowWidth="29040" windowHeight="15720" activeTab="1" xr2:uid="{7F9164D6-008F-4EC7-8314-381C95AD2504}"/>
  </bookViews>
  <sheets>
    <sheet name="Báo-Giá" sheetId="2" r:id="rId1"/>
    <sheet name="Bảng-Thực-Tính" sheetId="5" r:id="rId2"/>
  </sheets>
  <definedNames>
    <definedName name="_xlnm.Print_Area" localSheetId="1">'Bảng-Thực-Tính'!$A$1:$F$59</definedName>
    <definedName name="_xlnm.Print_Area" localSheetId="0">'Báo-Giá'!$A$1:$F$58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E23" i="5"/>
  <c r="B14" i="2"/>
  <c r="E22" i="2" l="1"/>
</calcChain>
</file>

<file path=xl/sharedStrings.xml><?xml version="1.0" encoding="utf-8"?>
<sst xmlns="http://schemas.openxmlformats.org/spreadsheetml/2006/main" count="81" uniqueCount="53">
  <si>
    <t>Tổng cộng</t>
  </si>
  <si>
    <t>Upload ảnh/ video để AI hỗ trợ kiểm tra hình thể, dáng đi, tóc, mặt, mắt, hàm (theo tiêu chuẩn: cân đối, không dị dạng, không hình xăm/ sẹo lộ ra).</t>
  </si>
  <si>
    <t>CÔNG TY TNHH CÔNG NGHỆ ỨNG DỤNG LAZINET</t>
  </si>
  <si>
    <t>Giá VNĐ (Chưa VAT)</t>
  </si>
  <si>
    <r>
      <rPr>
        <b/>
        <i/>
        <sz val="11"/>
        <color theme="1"/>
        <rFont val="Roboto"/>
      </rPr>
      <t>Địa chỉ:</t>
    </r>
    <r>
      <rPr>
        <sz val="11"/>
        <color theme="1"/>
        <rFont val="Roboto"/>
      </rPr>
      <t xml:space="preserve"> Tòa nhà Saigon Building, số 428 Trường Sa, Phường Cầu Kiệu, Thành phố Hồ Chí Minh, Việt Nam</t>
    </r>
  </si>
  <si>
    <t>BÁO GIÁ</t>
  </si>
  <si>
    <t>Kính gửi quý khách:</t>
  </si>
  <si>
    <t>Phạm vi</t>
  </si>
  <si>
    <t>Lưu ý:</t>
  </si>
  <si>
    <t>Hiệu lực</t>
  </si>
  <si>
    <t>Thuế GTGT</t>
  </si>
  <si>
    <t>Bàn giao</t>
  </si>
  <si>
    <t>Báo giá chưa bao gồm thuế GTGT (VAT).</t>
  </si>
  <si>
    <t>Báo giá có hiệu lực 12 tháng.</t>
  </si>
  <si>
    <t>TP. Hồ Chí Minh ngày 18/12/2025</t>
  </si>
  <si>
    <t>CỘNG ĐỒNG BÁCH KHOA HÀ NỘI KHU VỰC TÂN SƠN NHẤT (BKHN-TSN)</t>
  </si>
  <si>
    <t>DỊCH VỤ THIẾT KẾ LOGO</t>
  </si>
  <si>
    <t>Hạng mục 1 (Concept)</t>
  </si>
  <si>
    <t>Nghiên cứu các quy tắc cơ sở để phục vụ việc phác thảo, triển khai ý tưởng (Concept), làm mịn hoàn thiện thiết kế (Finalization)</t>
  </si>
  <si>
    <t>Từ quy tắc cơ sở và các yêu cầu, lên các ý tưởng phác thảo (Concept)</t>
  </si>
  <si>
    <t>Triển khai ý tưởng được chấp nhận thông qua trao đổi, và tiến hành triển khai</t>
  </si>
  <si>
    <t>Hạng mục 2</t>
  </si>
  <si>
    <t>1a. Nghiên cứu cơ sở</t>
  </si>
  <si>
    <t>1b. Phác thảo ý tưởng</t>
  </si>
  <si>
    <t>1c. Triển khai ý tưởng (Concept)</t>
  </si>
  <si>
    <t>Hạng mục chính</t>
  </si>
  <si>
    <t>Hạng mục con</t>
  </si>
  <si>
    <t>Mô tả hạng mục</t>
  </si>
  <si>
    <t>2b. Phát hành</t>
  </si>
  <si>
    <t>2a. Tối ưu hoàn thiện</t>
  </si>
  <si>
    <t>Từ ý tưởng triển khai được chọn, tối ưu đồ họa, tạo các hiệu chỉnh nhằm hoàn thiện</t>
  </si>
  <si>
    <t>Báo giá chưa bao gồm các phần: Tạo banner, tạo bìa hồ sơ, tạo thiệp, tạo form thư mời, tạo thư chúc mừng, ...</t>
  </si>
  <si>
    <t>Các phạm vi này, nếu có yêu cầu, sẽ thực hiện bằng phụ lục phạm vi mới.</t>
  </si>
  <si>
    <t xml:space="preserve">LAZINET triển khai đóng gói lưu trữ trên nền tảng LAZINET miễn phí trong vòng 1 năm. </t>
  </si>
  <si>
    <t>Sau thời gian 1 năm, LAZINET tính phí tra cứu thiết kế gốc là 200,000 VNĐ.</t>
  </si>
  <si>
    <t>THIẾT KẾ LOGO CỘNG ĐỒNG BKHN-TSN</t>
  </si>
  <si>
    <r>
      <rPr>
        <b/>
        <i/>
        <sz val="11"/>
        <color theme="1"/>
        <rFont val="Roboto"/>
      </rPr>
      <t xml:space="preserve">Website: </t>
    </r>
    <r>
      <rPr>
        <i/>
        <sz val="11"/>
        <color theme="1"/>
        <rFont val="Roboto"/>
      </rPr>
      <t>https://lazinet.com</t>
    </r>
    <r>
      <rPr>
        <b/>
        <i/>
        <sz val="11"/>
        <color theme="1"/>
        <rFont val="Roboto"/>
      </rPr>
      <t xml:space="preserve">        Email:</t>
    </r>
    <r>
      <rPr>
        <sz val="11"/>
        <color theme="1"/>
        <rFont val="Roboto"/>
      </rPr>
      <t xml:space="preserve"> email@lazinet.com        </t>
    </r>
    <r>
      <rPr>
        <b/>
        <i/>
        <sz val="11"/>
        <color theme="1"/>
        <rFont val="Roboto"/>
      </rPr>
      <t>Điện thoại:</t>
    </r>
    <r>
      <rPr>
        <sz val="11"/>
        <color theme="1"/>
        <rFont val="Roboto"/>
      </rPr>
      <t xml:space="preserve"> +84-908556220</t>
    </r>
  </si>
  <si>
    <t>BÁO PHÍ</t>
  </si>
  <si>
    <t>TP. Hồ Chí Minh ngày 29/12/2025</t>
  </si>
  <si>
    <t>Mô tả nội dung</t>
  </si>
  <si>
    <t>- Nghiên cứu BỘ LOGO ĐHBK HÀ NỘI - FILE THIẾT KẾ tại https://hust.edu.vn/vi/he-thong-nhan-dien-thuong-hieu/He-thong-NDTH/BO-LOGO-DHBK-HA-NOI-FILE-THIET-KE.html
- Nghiên cứu LOGO BÁCH KHOA - FILE TRÌNH CHIẾU tại https://www.hust.edu.vn/vi/he-thong-nhan-dien-thuong-hieu/He-thong-NDTH/LOGO-BACH-KHOA-FILE-TRINH-CHIEU.html
- Nghiên cứu BVP-Quy định màu sắc tại https://www.hust.edu.vn/vi/he-thong-nhan-dien-thuong-hieu/He-thong-NDTH/bvp-quy-dinh-mau-sac-148289.html
- Nghiên cứu BVP_QUY ĐỊNH FONT CHỮ tại https://www.hust.edu.vn/vi/he-thong-nhan-dien-thuong-hieu/He-thong-NDTH/BVP-QUY-DINH-FONT-CHU.html
- Nghiên cứu BỘ FONT CHỮ ĐHBK HÀ NỘI tại https://hust.edu.vn/vi/he-thong-nhan-dien-thuong-hieu/He-thong-NDTH/BO-FONT-CHU-DHBK-HA-NOI.html
- Nghiên cứu Logo CSV DN tại https://admin.bkceo.net/uploads/small_logo_red_removebg_preview_16c15afecd.png?v=1</t>
  </si>
  <si>
    <t>Triển khai 3 ý tưởng theo thành phần Logo Alumni, khung vuông (file BKHN-TSN_20251224.zip)</t>
  </si>
  <si>
    <t>Triển khai 3 ý tưởng theo thành phần Logo Alumni, khung tròn (file BKHN-TSN_20251225.docx)</t>
  </si>
  <si>
    <t>Tối ưu toàn bộ các mẫu 5A, 5B, 5C. Bổ sung thêm 5A2, 5B2, 5C2, 5D, 5E</t>
  </si>
  <si>
    <t>- Tạo các file định dạng: PNG, SVG, PDF (Standard, Print RGB, Print CMYK)
- Đưa lên cổng bản giao</t>
  </si>
  <si>
    <t>Thực hiện bóc tách thành phần (shape, character, màu sắc) để tạo các bản dựng Concept
- Gửi bản dựng BKHN-TSN_20251219.pdf
- Gửi bản dựng BKHN-TSN_20251220.pdf
- Nhận bản gốc Logo BKHN-Alumni và tái cấu trúc lại thành phần Logo</t>
  </si>
  <si>
    <t>Báo giá chưa bao gồm các phần: Tạo banner, tạo bìa hồ sơ, tạo thiệp, tạo form thư mời, tạo thư chúc mừng, …</t>
  </si>
  <si>
    <t>LAZINET triển khai đóng gói lưu trữ trên nền tảng LAZINET miễn phí trong vòng 1 năm.</t>
  </si>
  <si>
    <t>1c. Triển khai ý tưởng (Concept) lần 1</t>
  </si>
  <si>
    <t>1c. Triển khai ý tưởng (Concept) lần 2</t>
  </si>
  <si>
    <t>Link bàn giao</t>
  </si>
  <si>
    <t>https://lazinet.com/projects/aLuu-BKHN-TSN/Logo-BKHN-TSN</t>
  </si>
  <si>
    <t>https://drive.google.com/drive/u/0/folders/15AHZUH-PUHx7awt9Jjrav9rDsteSLjBX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</si>
</sst>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b/>
      <i/>
      <sz val="11"/>
      <color theme="1"/>
      <name val="Roboto"/>
    </font>
    <font>
      <i/>
      <sz val="11"/>
      <color theme="1"/>
      <name val="Roboto"/>
    </font>
    <font>
      <b/>
      <sz val="24"/>
      <color theme="1"/>
      <name val="Roboto"/>
    </font>
    <font>
      <sz val="16"/>
      <color theme="1"/>
      <name val="Roboto"/>
    </font>
    <font>
      <b/>
      <sz val="36"/>
      <color theme="1"/>
      <name val="Roboto"/>
    </font>
    <font>
      <i/>
      <u/>
      <sz val="11"/>
      <color theme="1"/>
      <name val="Roboto"/>
    </font>
    <font>
      <b/>
      <i/>
      <u/>
      <sz val="11"/>
      <color theme="1"/>
      <name val="Roboto"/>
    </font>
    <font>
      <b/>
      <sz val="11"/>
      <color theme="0"/>
      <name val="Roboto"/>
    </font>
    <font>
      <b/>
      <sz val="14"/>
      <color theme="0"/>
      <name val="Robo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1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3" fillId="0" borderId="0" xfId="0" applyFont="1"/>
    <xf numFmtId="0" fontId="10" fillId="0" borderId="0" xfId="0" applyFont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3" fontId="12" fillId="3" borderId="1" xfId="0" applyNumberFormat="1" applyFont="1" applyFill="1" applyBorder="1" applyAlignment="1">
      <alignment horizontal="right"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right" vertical="center" wrapText="1"/>
    </xf>
    <xf numFmtId="0" fontId="13" fillId="0" borderId="0" xfId="2" applyAlignment="1">
      <alignment vertical="top"/>
    </xf>
    <xf numFmtId="0" fontId="2" fillId="0" borderId="0" xfId="0" applyFont="1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219076</xdr:colOff>
      <xdr:row>0</xdr:row>
      <xdr:rowOff>171451</xdr:rowOff>
    </xdr:from>
    <xdr:to>
      <xdr:col>1</xdr:col>
      <xdr:colOff>1095375</xdr:colOff>
      <xdr:row>4</xdr:row>
      <xdr:rowOff>85725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79424570-48A1-4332-A17A-4E2D35F5E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7676" y="171451"/>
          <a:ext cx="876299" cy="876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219076</xdr:colOff>
      <xdr:row>0</xdr:row>
      <xdr:rowOff>171451</xdr:rowOff>
    </xdr:from>
    <xdr:to>
      <xdr:col>1</xdr:col>
      <xdr:colOff>1095375</xdr:colOff>
      <xdr:row>4</xdr:row>
      <xdr:rowOff>85725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D17CD86-1A2A-4534-80FA-E2CB8CB9E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6726" y="171451"/>
          <a:ext cx="876299" cy="876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rive.google.com/drive/u/0/folders/15AHZUH-PUHx7awt9Jjrav9rDsteSLjBX" TargetMode="External"/><Relationship Id="rId1" Type="http://schemas.openxmlformats.org/officeDocument/2006/relationships/hyperlink" Target="https://lazinet.com/projects/aLuu-BKHN-TSN/Logo-BKHN-TSN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5D86-A8C6-4197-909E-74E8D5606455}">
  <dimension ref="B1:E37"/>
  <sheetViews>
    <sheetView showGridLines="0" view="pageBreakPreview" topLeftCell="A7" zoomScaleNormal="40" zoomScaleSheetLayoutView="100" workbookViewId="0">
      <selection activeCell="E22" sqref="E22"/>
    </sheetView>
  </sheetViews>
  <sheetFormatPr defaultRowHeight="15" x14ac:dyDescent="0.25"/>
  <cols>
    <col min="1" max="1" width="3.7109375" style="1" customWidth="1"/>
    <col min="2" max="2" width="21.5703125" style="1" customWidth="1"/>
    <col min="3" max="3" width="26.5703125" style="1" customWidth="1"/>
    <col min="4" max="4" width="93.7109375" style="1" customWidth="1"/>
    <col min="5" max="5" width="22.85546875" style="1" customWidth="1"/>
    <col min="6" max="6" width="3.7109375" style="1" customWidth="1"/>
    <col min="7" max="16384" width="9.140625" style="1"/>
  </cols>
  <sheetData>
    <row r="1" spans="2:5" x14ac:dyDescent="0.25">
      <c r="B1" s="2"/>
      <c r="C1" s="2"/>
      <c r="D1" s="2"/>
    </row>
    <row r="2" spans="2:5" ht="30.75" x14ac:dyDescent="0.45">
      <c r="B2" s="3"/>
      <c r="C2" s="29" t="s">
        <v>2</v>
      </c>
      <c r="D2" s="29"/>
    </row>
    <row r="3" spans="2:5" x14ac:dyDescent="0.25">
      <c r="B3" s="3"/>
      <c r="C3" s="30" t="s">
        <v>4</v>
      </c>
      <c r="D3" s="30"/>
    </row>
    <row r="4" spans="2:5" x14ac:dyDescent="0.25">
      <c r="B4" s="3"/>
      <c r="C4" s="32" t="s">
        <v>36</v>
      </c>
      <c r="D4" s="32"/>
    </row>
    <row r="5" spans="2:5" x14ac:dyDescent="0.25">
      <c r="B5" s="3"/>
      <c r="C5" s="3"/>
      <c r="D5" s="4"/>
    </row>
    <row r="6" spans="2:5" x14ac:dyDescent="0.25">
      <c r="B6" s="3"/>
      <c r="C6" s="22" t="s">
        <v>14</v>
      </c>
      <c r="D6" s="22"/>
    </row>
    <row r="7" spans="2:5" x14ac:dyDescent="0.25">
      <c r="B7" s="3"/>
      <c r="C7" s="3"/>
      <c r="D7" s="4"/>
    </row>
    <row r="8" spans="2:5" ht="45.75" x14ac:dyDescent="0.25">
      <c r="B8" s="3"/>
      <c r="C8" s="33" t="s">
        <v>5</v>
      </c>
      <c r="D8" s="33"/>
    </row>
    <row r="9" spans="2:5" ht="20.25" x14ac:dyDescent="0.25">
      <c r="B9" s="3"/>
      <c r="C9" s="34" t="s">
        <v>16</v>
      </c>
      <c r="D9" s="34"/>
    </row>
    <row r="10" spans="2:5" x14ac:dyDescent="0.25">
      <c r="B10" s="3"/>
      <c r="C10" s="3"/>
      <c r="D10" s="4"/>
    </row>
    <row r="11" spans="2:5" ht="30" customHeight="1" x14ac:dyDescent="0.25">
      <c r="B11" s="6" t="s">
        <v>6</v>
      </c>
      <c r="C11" s="36" t="s">
        <v>15</v>
      </c>
      <c r="D11" s="36"/>
      <c r="E11" s="36"/>
    </row>
    <row r="12" spans="2:5" ht="24" customHeight="1" x14ac:dyDescent="0.25">
      <c r="B12" s="6" t="s">
        <v>7</v>
      </c>
      <c r="C12" s="37" t="s">
        <v>35</v>
      </c>
      <c r="D12" s="37"/>
      <c r="E12" s="37"/>
    </row>
    <row r="13" spans="2:5" x14ac:dyDescent="0.25">
      <c r="B13" s="3"/>
      <c r="C13" s="3"/>
      <c r="D13" s="4"/>
    </row>
    <row r="14" spans="2:5" ht="32.25" customHeight="1" x14ac:dyDescent="0.25">
      <c r="B14" s="35" t="str">
        <f>"CÔNG TY TNHH CÔNG NGHỆ ỨNG DỤNG LAZINET KÍNH GỬI ĐẾN "&amp;C11&amp;CHAR(10)&amp;" BẢNG BÁO GIÁ DỊCH VỤ "&amp;C12</f>
        <v>CÔNG TY TNHH CÔNG NGHỆ ỨNG DỤNG LAZINET KÍNH GỬI ĐẾN CỘNG ĐỒNG BÁCH KHOA HÀ NỘI KHU VỰC TÂN SƠN NHẤT (BKHN-TSN)
 BẢNG BÁO GIÁ DỊCH VỤ THIẾT KẾ LOGO CỘNG ĐỒNG BKHN-TSN</v>
      </c>
      <c r="C14" s="35"/>
      <c r="D14" s="35"/>
      <c r="E14" s="35"/>
    </row>
    <row r="15" spans="2:5" x14ac:dyDescent="0.25">
      <c r="B15" s="3"/>
      <c r="C15" s="5"/>
      <c r="D15" s="4"/>
    </row>
    <row r="16" spans="2:5" x14ac:dyDescent="0.25">
      <c r="B16" s="11" t="s">
        <v>25</v>
      </c>
      <c r="C16" s="12" t="s">
        <v>26</v>
      </c>
      <c r="D16" s="12" t="s">
        <v>27</v>
      </c>
      <c r="E16" s="12" t="s">
        <v>3</v>
      </c>
    </row>
    <row r="17" spans="2:5" ht="30" x14ac:dyDescent="0.25">
      <c r="B17" s="23" t="s">
        <v>17</v>
      </c>
      <c r="C17" s="13" t="s">
        <v>22</v>
      </c>
      <c r="D17" s="13" t="s">
        <v>18</v>
      </c>
      <c r="E17" s="15">
        <v>500000</v>
      </c>
    </row>
    <row r="18" spans="2:5" x14ac:dyDescent="0.25">
      <c r="B18" s="31"/>
      <c r="C18" s="13" t="s">
        <v>23</v>
      </c>
      <c r="D18" s="13" t="s">
        <v>19</v>
      </c>
      <c r="E18" s="15">
        <v>500000</v>
      </c>
    </row>
    <row r="19" spans="2:5" ht="30" x14ac:dyDescent="0.25">
      <c r="B19" s="24"/>
      <c r="C19" s="13" t="s">
        <v>24</v>
      </c>
      <c r="D19" s="13" t="s">
        <v>20</v>
      </c>
      <c r="E19" s="15">
        <v>500000</v>
      </c>
    </row>
    <row r="20" spans="2:5" x14ac:dyDescent="0.25">
      <c r="B20" s="23" t="s">
        <v>21</v>
      </c>
      <c r="C20" s="13" t="s">
        <v>29</v>
      </c>
      <c r="D20" s="13" t="s">
        <v>30</v>
      </c>
      <c r="E20" s="15">
        <v>500000</v>
      </c>
    </row>
    <row r="21" spans="2:5" ht="30" x14ac:dyDescent="0.25">
      <c r="B21" s="24"/>
      <c r="C21" s="13" t="s">
        <v>28</v>
      </c>
      <c r="D21" s="13" t="s">
        <v>1</v>
      </c>
      <c r="E21" s="15">
        <v>500000</v>
      </c>
    </row>
    <row r="22" spans="2:5" ht="23.25" customHeight="1" x14ac:dyDescent="0.25">
      <c r="B22" s="14" t="s">
        <v>0</v>
      </c>
      <c r="C22" s="25"/>
      <c r="D22" s="26"/>
      <c r="E22" s="16">
        <f>SUM(E17:E21)</f>
        <v>2500000</v>
      </c>
    </row>
    <row r="25" spans="2:5" x14ac:dyDescent="0.25">
      <c r="B25" s="8" t="s">
        <v>8</v>
      </c>
    </row>
    <row r="26" spans="2:5" x14ac:dyDescent="0.25">
      <c r="B26" s="10">
        <v>1</v>
      </c>
      <c r="C26" s="9" t="s">
        <v>9</v>
      </c>
      <c r="D26" s="28" t="s">
        <v>13</v>
      </c>
      <c r="E26" s="28"/>
    </row>
    <row r="27" spans="2:5" x14ac:dyDescent="0.25">
      <c r="B27" s="10">
        <v>2</v>
      </c>
      <c r="C27" s="9" t="s">
        <v>10</v>
      </c>
      <c r="D27" s="28" t="s">
        <v>12</v>
      </c>
      <c r="E27" s="28"/>
    </row>
    <row r="28" spans="2:5" x14ac:dyDescent="0.25">
      <c r="B28" s="18">
        <v>3</v>
      </c>
      <c r="C28" s="20" t="s">
        <v>7</v>
      </c>
      <c r="D28" s="28" t="s">
        <v>31</v>
      </c>
      <c r="E28" s="28"/>
    </row>
    <row r="29" spans="2:5" x14ac:dyDescent="0.25">
      <c r="B29" s="19"/>
      <c r="C29" s="21"/>
      <c r="D29" s="28" t="s">
        <v>32</v>
      </c>
      <c r="E29" s="28"/>
    </row>
    <row r="30" spans="2:5" x14ac:dyDescent="0.25">
      <c r="B30" s="18">
        <v>4</v>
      </c>
      <c r="C30" s="20" t="s">
        <v>11</v>
      </c>
      <c r="D30" s="28" t="s">
        <v>33</v>
      </c>
      <c r="E30" s="28"/>
    </row>
    <row r="31" spans="2:5" x14ac:dyDescent="0.25">
      <c r="B31" s="19"/>
      <c r="C31" s="21"/>
      <c r="D31" s="28" t="s">
        <v>34</v>
      </c>
      <c r="E31" s="28"/>
    </row>
    <row r="32" spans="2:5" x14ac:dyDescent="0.25">
      <c r="C32" s="7"/>
      <c r="D32" s="27"/>
      <c r="E32" s="27"/>
    </row>
    <row r="33" spans="3:5" x14ac:dyDescent="0.25">
      <c r="C33" s="7"/>
      <c r="D33" s="27"/>
      <c r="E33" s="27"/>
    </row>
    <row r="34" spans="3:5" x14ac:dyDescent="0.25">
      <c r="C34" s="7"/>
      <c r="D34" s="27"/>
      <c r="E34" s="27"/>
    </row>
    <row r="35" spans="3:5" x14ac:dyDescent="0.25">
      <c r="C35" s="7"/>
      <c r="D35" s="27"/>
      <c r="E35" s="27"/>
    </row>
    <row r="36" spans="3:5" x14ac:dyDescent="0.25">
      <c r="C36" s="7"/>
      <c r="D36" s="27"/>
      <c r="E36" s="27"/>
    </row>
    <row r="37" spans="3:5" x14ac:dyDescent="0.25">
      <c r="C37" s="7"/>
      <c r="D37" s="27"/>
      <c r="E37" s="27"/>
    </row>
  </sheetData>
  <mergeCells count="28">
    <mergeCell ref="C2:D2"/>
    <mergeCell ref="C3:D3"/>
    <mergeCell ref="B17:B19"/>
    <mergeCell ref="C4:D4"/>
    <mergeCell ref="C8:D8"/>
    <mergeCell ref="C9:D9"/>
    <mergeCell ref="B14:E14"/>
    <mergeCell ref="C11:E11"/>
    <mergeCell ref="C12:E12"/>
    <mergeCell ref="D37:E37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B28:B29"/>
    <mergeCell ref="C28:C29"/>
    <mergeCell ref="B30:B31"/>
    <mergeCell ref="C30:C31"/>
    <mergeCell ref="C6:D6"/>
    <mergeCell ref="B20:B21"/>
    <mergeCell ref="C22:D22"/>
  </mergeCells>
  <pageMargins left="0.7" right="0.7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504F-010E-48D9-9C42-C28D3B7F4279}">
  <sheetPr>
    <pageSetUpPr fitToPage="1"/>
  </sheetPr>
  <dimension ref="B1:E38"/>
  <sheetViews>
    <sheetView showGridLines="0" tabSelected="1" view="pageBreakPreview" topLeftCell="A16" zoomScale="70" zoomScaleNormal="40" zoomScaleSheetLayoutView="70" workbookViewId="0">
      <selection sqref="A1:F59"/>
    </sheetView>
  </sheetViews>
  <sheetFormatPr defaultRowHeight="15" x14ac:dyDescent="0.25"/>
  <cols>
    <col min="1" max="1" width="3.7109375" style="1" customWidth="1"/>
    <col min="2" max="2" width="21.5703125" style="1" customWidth="1"/>
    <col min="3" max="3" width="26.5703125" style="1" customWidth="1"/>
    <col min="4" max="4" width="93.7109375" style="1" customWidth="1"/>
    <col min="5" max="5" width="22.85546875" style="1" customWidth="1"/>
    <col min="6" max="6" width="3.7109375" style="1" customWidth="1"/>
    <col min="7" max="16384" width="9.140625" style="1"/>
  </cols>
  <sheetData>
    <row r="1" spans="2:5" x14ac:dyDescent="0.25">
      <c r="B1" s="2"/>
      <c r="C1" s="2"/>
      <c r="D1" s="2"/>
    </row>
    <row r="2" spans="2:5" ht="30.75" x14ac:dyDescent="0.45">
      <c r="B2" s="3"/>
      <c r="C2" s="29" t="s">
        <v>2</v>
      </c>
      <c r="D2" s="29"/>
    </row>
    <row r="3" spans="2:5" x14ac:dyDescent="0.25">
      <c r="B3" s="3"/>
      <c r="C3" s="30" t="s">
        <v>4</v>
      </c>
      <c r="D3" s="30"/>
    </row>
    <row r="4" spans="2:5" x14ac:dyDescent="0.25">
      <c r="B4" s="3"/>
      <c r="C4" s="32" t="s">
        <v>36</v>
      </c>
      <c r="D4" s="32"/>
    </row>
    <row r="5" spans="2:5" x14ac:dyDescent="0.25">
      <c r="B5" s="3"/>
      <c r="C5" s="3"/>
      <c r="D5" s="4"/>
    </row>
    <row r="6" spans="2:5" x14ac:dyDescent="0.25">
      <c r="B6" s="3"/>
      <c r="C6" s="22" t="s">
        <v>38</v>
      </c>
      <c r="D6" s="22"/>
    </row>
    <row r="7" spans="2:5" x14ac:dyDescent="0.25">
      <c r="B7" s="3"/>
      <c r="C7" s="3"/>
      <c r="D7" s="4"/>
    </row>
    <row r="8" spans="2:5" ht="45.75" x14ac:dyDescent="0.25">
      <c r="B8" s="3"/>
      <c r="C8" s="33" t="s">
        <v>37</v>
      </c>
      <c r="D8" s="33"/>
    </row>
    <row r="9" spans="2:5" ht="20.25" x14ac:dyDescent="0.25">
      <c r="B9" s="3"/>
      <c r="C9" s="34" t="s">
        <v>16</v>
      </c>
      <c r="D9" s="34"/>
    </row>
    <row r="10" spans="2:5" x14ac:dyDescent="0.25">
      <c r="B10" s="3"/>
      <c r="C10" s="3"/>
      <c r="D10" s="4"/>
    </row>
    <row r="11" spans="2:5" ht="30" customHeight="1" x14ac:dyDescent="0.25">
      <c r="B11" s="6" t="s">
        <v>6</v>
      </c>
      <c r="C11" s="36" t="s">
        <v>15</v>
      </c>
      <c r="D11" s="36"/>
      <c r="E11" s="36"/>
    </row>
    <row r="12" spans="2:5" ht="24" customHeight="1" x14ac:dyDescent="0.25">
      <c r="B12" s="6" t="s">
        <v>7</v>
      </c>
      <c r="C12" s="37" t="s">
        <v>35</v>
      </c>
      <c r="D12" s="37"/>
      <c r="E12" s="37"/>
    </row>
    <row r="13" spans="2:5" x14ac:dyDescent="0.25">
      <c r="B13" s="3"/>
      <c r="C13" s="3"/>
      <c r="D13" s="4"/>
    </row>
    <row r="14" spans="2:5" ht="32.25" customHeight="1" x14ac:dyDescent="0.25">
      <c r="B14" s="35" t="str">
        <f>"CÔNG TY TNHH CÔNG NGHỆ ỨNG DỤNG LAZINET KÍNH GỬI ĐẾN "&amp;C11&amp;CHAR(10)&amp;" BẢNG BÁO PHÍ HOÀN THIỆN DỊCH VỤ "&amp;C12</f>
        <v>CÔNG TY TNHH CÔNG NGHỆ ỨNG DỤNG LAZINET KÍNH GỬI ĐẾN CỘNG ĐỒNG BÁCH KHOA HÀ NỘI KHU VỰC TÂN SƠN NHẤT (BKHN-TSN)
 BẢNG BÁO PHÍ HOÀN THIỆN DỊCH VỤ THIẾT KẾ LOGO CỘNG ĐỒNG BKHN-TSN</v>
      </c>
      <c r="C14" s="35"/>
      <c r="D14" s="35"/>
      <c r="E14" s="35"/>
    </row>
    <row r="15" spans="2:5" x14ac:dyDescent="0.25">
      <c r="B15" s="3"/>
      <c r="C15" s="5"/>
      <c r="D15" s="4"/>
    </row>
    <row r="16" spans="2:5" x14ac:dyDescent="0.25">
      <c r="B16" s="11" t="s">
        <v>25</v>
      </c>
      <c r="C16" s="12" t="s">
        <v>26</v>
      </c>
      <c r="D16" s="12" t="s">
        <v>39</v>
      </c>
      <c r="E16" s="12" t="s">
        <v>3</v>
      </c>
    </row>
    <row r="17" spans="2:5" ht="180" x14ac:dyDescent="0.25">
      <c r="B17" s="23" t="s">
        <v>17</v>
      </c>
      <c r="C17" s="13" t="s">
        <v>22</v>
      </c>
      <c r="D17" s="17" t="s">
        <v>40</v>
      </c>
      <c r="E17" s="15">
        <v>500000</v>
      </c>
    </row>
    <row r="18" spans="2:5" ht="60" x14ac:dyDescent="0.25">
      <c r="B18" s="31"/>
      <c r="C18" s="13" t="s">
        <v>23</v>
      </c>
      <c r="D18" s="17" t="s">
        <v>45</v>
      </c>
      <c r="E18" s="15">
        <v>500000</v>
      </c>
    </row>
    <row r="19" spans="2:5" ht="30" x14ac:dyDescent="0.25">
      <c r="B19" s="31"/>
      <c r="C19" s="38" t="s">
        <v>48</v>
      </c>
      <c r="D19" s="38" t="s">
        <v>41</v>
      </c>
      <c r="E19" s="39">
        <v>500000</v>
      </c>
    </row>
    <row r="20" spans="2:5" ht="30" x14ac:dyDescent="0.25">
      <c r="B20" s="24"/>
      <c r="C20" s="13" t="s">
        <v>49</v>
      </c>
      <c r="D20" s="13" t="s">
        <v>42</v>
      </c>
      <c r="E20" s="15">
        <v>500000</v>
      </c>
    </row>
    <row r="21" spans="2:5" x14ac:dyDescent="0.25">
      <c r="B21" s="23" t="s">
        <v>21</v>
      </c>
      <c r="C21" s="13" t="s">
        <v>29</v>
      </c>
      <c r="D21" s="13" t="s">
        <v>43</v>
      </c>
      <c r="E21" s="15">
        <v>500000</v>
      </c>
    </row>
    <row r="22" spans="2:5" ht="30" x14ac:dyDescent="0.25">
      <c r="B22" s="24"/>
      <c r="C22" s="13" t="s">
        <v>28</v>
      </c>
      <c r="D22" s="17" t="s">
        <v>44</v>
      </c>
      <c r="E22" s="15">
        <v>500000</v>
      </c>
    </row>
    <row r="23" spans="2:5" ht="23.25" customHeight="1" x14ac:dyDescent="0.25">
      <c r="B23" s="14" t="s">
        <v>0</v>
      </c>
      <c r="C23" s="25"/>
      <c r="D23" s="26"/>
      <c r="E23" s="16">
        <f>SUM(E17:E22)</f>
        <v>3000000</v>
      </c>
    </row>
    <row r="26" spans="2:5" x14ac:dyDescent="0.25">
      <c r="B26" s="8" t="s">
        <v>8</v>
      </c>
    </row>
    <row r="27" spans="2:5" x14ac:dyDescent="0.25">
      <c r="B27" s="10">
        <v>1</v>
      </c>
      <c r="C27" s="9" t="s">
        <v>9</v>
      </c>
      <c r="D27" s="28" t="s">
        <v>13</v>
      </c>
      <c r="E27" s="28"/>
    </row>
    <row r="28" spans="2:5" x14ac:dyDescent="0.25">
      <c r="B28" s="10">
        <v>2</v>
      </c>
      <c r="C28" s="9" t="s">
        <v>10</v>
      </c>
      <c r="D28" s="28" t="s">
        <v>12</v>
      </c>
      <c r="E28" s="28"/>
    </row>
    <row r="29" spans="2:5" x14ac:dyDescent="0.25">
      <c r="B29" s="18">
        <v>3</v>
      </c>
      <c r="C29" s="20" t="s">
        <v>7</v>
      </c>
      <c r="D29" s="28" t="s">
        <v>46</v>
      </c>
      <c r="E29" s="28"/>
    </row>
    <row r="30" spans="2:5" x14ac:dyDescent="0.25">
      <c r="B30" s="19"/>
      <c r="C30" s="21"/>
      <c r="D30" s="28" t="s">
        <v>32</v>
      </c>
      <c r="E30" s="28"/>
    </row>
    <row r="31" spans="2:5" x14ac:dyDescent="0.25">
      <c r="B31" s="18">
        <v>4</v>
      </c>
      <c r="C31" s="20" t="s">
        <v>11</v>
      </c>
      <c r="D31" s="28" t="s">
        <v>47</v>
      </c>
      <c r="E31" s="28"/>
    </row>
    <row r="32" spans="2:5" x14ac:dyDescent="0.25">
      <c r="B32" s="19"/>
      <c r="C32" s="21"/>
      <c r="D32" s="28" t="s">
        <v>34</v>
      </c>
      <c r="E32" s="28"/>
    </row>
    <row r="33" spans="2:5" x14ac:dyDescent="0.25">
      <c r="C33" s="7"/>
      <c r="D33" s="27"/>
      <c r="E33" s="27"/>
    </row>
    <row r="34" spans="2:5" x14ac:dyDescent="0.25">
      <c r="C34" s="7"/>
      <c r="D34" s="27"/>
      <c r="E34" s="27"/>
    </row>
    <row r="35" spans="2:5" x14ac:dyDescent="0.25">
      <c r="B35" s="1" t="s">
        <v>50</v>
      </c>
      <c r="C35" s="7"/>
      <c r="D35" s="27"/>
      <c r="E35" s="27"/>
    </row>
    <row r="36" spans="2:5" x14ac:dyDescent="0.25">
      <c r="C36" s="7"/>
      <c r="D36" s="27"/>
      <c r="E36" s="27"/>
    </row>
    <row r="37" spans="2:5" x14ac:dyDescent="0.25">
      <c r="C37" s="40" t="s">
        <v>51</v>
      </c>
      <c r="D37" s="41"/>
      <c r="E37" s="41"/>
    </row>
    <row r="38" spans="2:5" x14ac:dyDescent="0.25">
      <c r="C38" s="40" t="s">
        <v>52</v>
      </c>
      <c r="D38" s="41"/>
      <c r="E38" s="41"/>
    </row>
  </sheetData>
  <mergeCells count="26">
    <mergeCell ref="C23:D23"/>
    <mergeCell ref="C2:D2"/>
    <mergeCell ref="C3:D3"/>
    <mergeCell ref="C4:D4"/>
    <mergeCell ref="C6:D6"/>
    <mergeCell ref="C8:D8"/>
    <mergeCell ref="C9:D9"/>
    <mergeCell ref="C11:E11"/>
    <mergeCell ref="C12:E12"/>
    <mergeCell ref="B14:E14"/>
    <mergeCell ref="B17:B20"/>
    <mergeCell ref="B21:B22"/>
    <mergeCell ref="D27:E27"/>
    <mergeCell ref="D28:E28"/>
    <mergeCell ref="B29:B30"/>
    <mergeCell ref="C29:C30"/>
    <mergeCell ref="D29:E29"/>
    <mergeCell ref="D30:E30"/>
    <mergeCell ref="D35:E35"/>
    <mergeCell ref="D36:E36"/>
    <mergeCell ref="B31:B32"/>
    <mergeCell ref="C31:C32"/>
    <mergeCell ref="D31:E31"/>
    <mergeCell ref="D32:E32"/>
    <mergeCell ref="D33:E33"/>
    <mergeCell ref="D34:E34"/>
  </mergeCells>
  <hyperlinks>
    <hyperlink ref="C37" r:id="rId1" xr:uid="{8D9292F0-F9C7-4A5E-A36A-DFC61E926324}"/>
    <hyperlink ref="C38" r:id="rId2" xr:uid="{F3EE5630-3231-43A0-877B-A58304F9C780}"/>
  </hyperlinks>
  <pageMargins left="0.70866141732283472" right="0.70866141732283472" top="0.74803149606299213" bottom="0.74803149606299213" header="0.31496062992125984" footer="0.31496062992125984"/>
  <pageSetup paperSize="9" scale="52" fitToHeight="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Báo-Giá</vt:lpstr>
      <vt:lpstr>Bảng-Thực-Tính</vt:lpstr>
      <vt:lpstr>'Bảng-Thực-Tính'!Print_Area</vt:lpstr>
      <vt:lpstr>'Báo-Giá'!Print_Area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cp:lastPrinted>2025-12-31T11:21:26Z</cp:lastPrinted>
  <dcterms:created xsi:type="dcterms:W3CDTF">2025-11-28T03:34:42Z</dcterms:created>
  <dcterms:modified xsi:type="dcterms:W3CDTF">2025-12-31T11:21:51Z</dcterms:modified>
</cp:coreProperties>
</file>