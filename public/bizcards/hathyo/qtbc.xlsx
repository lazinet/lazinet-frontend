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D:\Dev_SW\lazinet-fullstack\lazinet-frontend\public\bizcards\hathyo\"/>
    </mc:Choice>
  </mc:AlternateContent>
  <xr:revisionPtr revIDLastSave="0" documentId="8_{3A0E13DD-D43D-4E18-9C1E-D23056203E20}" xr6:coauthVersionLast="47" xr6:coauthVersionMax="47" xr10:uidLastSave="{00000000-0000-0000-0000-000000000000}"/>
  <bookViews>
    <workbookView xWindow="-120" yWindow="-120" windowWidth="29040" windowHeight="15720" activeTab="2" xr2:uid="{00000000-000D-0000-FFFF-FFFF00000000}"/>
  </bookViews>
  <sheets>
    <sheet name="Configs" sheetId="1" r:id="rId1"/>
    <sheet name="Members" sheetId="2" r:id="rId2"/>
    <sheet name="Chat-Data" sheetId="3" r:id="rId3"/>
    <sheet name="Form-Data" sheetId="4" r:id="rId4"/>
  </sheets>
  <definedNames>
    <definedName name="_xlnm._FilterDatabase" localSheetId="1" hidden="1">Members!$A$1:$CG$1002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X123" i="2" l="1"/>
  <c r="BV123" i="2"/>
  <c r="W123" i="2"/>
  <c r="U123" i="2"/>
  <c r="T123" i="2"/>
  <c r="S123" i="2"/>
  <c r="P123" i="2"/>
  <c r="N123" i="2"/>
  <c r="G123" i="2"/>
  <c r="BX122" i="2"/>
  <c r="BV122" i="2"/>
  <c r="G122" i="2"/>
  <c r="CA121" i="2"/>
  <c r="BV121" i="2"/>
  <c r="N121" i="2"/>
  <c r="M121" i="2"/>
  <c r="L121" i="2"/>
  <c r="BX121" i="2" s="1"/>
  <c r="BZ121" i="2" s="1"/>
  <c r="G121" i="2"/>
  <c r="CA120" i="2"/>
  <c r="BV120" i="2"/>
  <c r="N120" i="2"/>
  <c r="L120" i="2"/>
  <c r="BX120" i="2" s="1"/>
  <c r="BZ120" i="2" s="1"/>
  <c r="G120" i="2"/>
  <c r="CA119" i="2"/>
  <c r="BV119" i="2"/>
  <c r="N119" i="2"/>
  <c r="L119" i="2"/>
  <c r="BX119" i="2" s="1"/>
  <c r="BZ119" i="2" s="1"/>
  <c r="G119" i="2"/>
  <c r="CA118" i="2"/>
  <c r="BV118" i="2"/>
  <c r="N118" i="2"/>
  <c r="L118" i="2"/>
  <c r="BX118" i="2" s="1"/>
  <c r="BZ118" i="2" s="1"/>
  <c r="G118" i="2"/>
  <c r="CA117" i="2"/>
  <c r="BV117" i="2"/>
  <c r="N117" i="2"/>
  <c r="L117" i="2"/>
  <c r="BX117" i="2" s="1"/>
  <c r="BZ117" i="2" s="1"/>
  <c r="G117" i="2"/>
  <c r="CA116" i="2"/>
  <c r="BV116" i="2"/>
  <c r="N116" i="2"/>
  <c r="L116" i="2"/>
  <c r="BX116" i="2" s="1"/>
  <c r="BZ116" i="2" s="1"/>
  <c r="G116" i="2"/>
  <c r="CA115" i="2"/>
  <c r="BV115" i="2"/>
  <c r="U115" i="2"/>
  <c r="T115" i="2"/>
  <c r="S115" i="2"/>
  <c r="N115" i="2"/>
  <c r="L115" i="2"/>
  <c r="BX115" i="2" s="1"/>
  <c r="BZ115" i="2" s="1"/>
  <c r="G115" i="2"/>
  <c r="CA114" i="2"/>
  <c r="BV114" i="2"/>
  <c r="N114" i="2"/>
  <c r="L114" i="2"/>
  <c r="BX114" i="2" s="1"/>
  <c r="BZ114" i="2" s="1"/>
  <c r="G114" i="2"/>
  <c r="CA113" i="2"/>
  <c r="BV113" i="2"/>
  <c r="U113" i="2"/>
  <c r="T113" i="2"/>
  <c r="S113" i="2"/>
  <c r="N113" i="2"/>
  <c r="L113" i="2"/>
  <c r="BX113" i="2" s="1"/>
  <c r="BZ113" i="2" s="1"/>
  <c r="G113" i="2"/>
  <c r="BX112" i="2"/>
  <c r="BV112" i="2"/>
  <c r="W112" i="2"/>
  <c r="N112" i="2"/>
  <c r="G112" i="2"/>
  <c r="BX111" i="2"/>
  <c r="BV111" i="2"/>
  <c r="U111" i="2"/>
  <c r="T111" i="2"/>
  <c r="S111" i="2"/>
  <c r="N111" i="2"/>
  <c r="G111" i="2"/>
  <c r="BX110" i="2"/>
  <c r="BV110" i="2"/>
  <c r="W110" i="2"/>
  <c r="U110" i="2"/>
  <c r="T110" i="2"/>
  <c r="S110" i="2"/>
  <c r="N110" i="2"/>
  <c r="G110" i="2"/>
  <c r="BX109" i="2"/>
  <c r="BV109" i="2"/>
  <c r="W109" i="2"/>
  <c r="U109" i="2"/>
  <c r="T109" i="2"/>
  <c r="S109" i="2"/>
  <c r="N109" i="2"/>
  <c r="G109" i="2"/>
  <c r="BX108" i="2"/>
  <c r="BV108" i="2"/>
  <c r="W108" i="2"/>
  <c r="P108" i="2"/>
  <c r="N108" i="2"/>
  <c r="G108" i="2"/>
  <c r="CA107" i="2"/>
  <c r="BV107" i="2"/>
  <c r="U107" i="2"/>
  <c r="T107" i="2"/>
  <c r="S107" i="2"/>
  <c r="N107" i="2"/>
  <c r="M107" i="2"/>
  <c r="L107" i="2"/>
  <c r="BX107" i="2" s="1"/>
  <c r="BZ107" i="2" s="1"/>
  <c r="G107" i="2"/>
  <c r="CA106" i="2"/>
  <c r="BV106" i="2"/>
  <c r="U106" i="2"/>
  <c r="T106" i="2"/>
  <c r="S106" i="2"/>
  <c r="N106" i="2"/>
  <c r="L106" i="2"/>
  <c r="BX106" i="2" s="1"/>
  <c r="BZ106" i="2" s="1"/>
  <c r="G106" i="2"/>
  <c r="CA105" i="2"/>
  <c r="BV105" i="2"/>
  <c r="W105" i="2"/>
  <c r="N105" i="2"/>
  <c r="L105" i="2"/>
  <c r="BX105" i="2" s="1"/>
  <c r="G105" i="2"/>
  <c r="CA104" i="2"/>
  <c r="BV104" i="2"/>
  <c r="U104" i="2"/>
  <c r="T104" i="2"/>
  <c r="S104" i="2"/>
  <c r="N104" i="2"/>
  <c r="M104" i="2"/>
  <c r="L104" i="2"/>
  <c r="BX104" i="2" s="1"/>
  <c r="BZ104" i="2" s="1"/>
  <c r="G104" i="2"/>
  <c r="BV103" i="2"/>
  <c r="U103" i="2"/>
  <c r="T103" i="2"/>
  <c r="N103" i="2"/>
  <c r="G103" i="2"/>
  <c r="BV102" i="2"/>
  <c r="W102" i="2"/>
  <c r="U102" i="2"/>
  <c r="T102" i="2"/>
  <c r="S102" i="2"/>
  <c r="N102" i="2"/>
  <c r="L102" i="2"/>
  <c r="BX102" i="2" s="1"/>
  <c r="G102" i="2"/>
  <c r="BX101" i="2"/>
  <c r="BV101" i="2"/>
  <c r="W101" i="2"/>
  <c r="U101" i="2"/>
  <c r="T101" i="2"/>
  <c r="S101" i="2"/>
  <c r="N101" i="2"/>
  <c r="G101" i="2"/>
  <c r="CA100" i="2"/>
  <c r="BV100" i="2"/>
  <c r="U100" i="2"/>
  <c r="T100" i="2"/>
  <c r="S100" i="2"/>
  <c r="N100" i="2"/>
  <c r="L100" i="2"/>
  <c r="BX100" i="2" s="1"/>
  <c r="BZ100" i="2" s="1"/>
  <c r="G100" i="2"/>
  <c r="CA99" i="2"/>
  <c r="BV99" i="2"/>
  <c r="U99" i="2"/>
  <c r="T99" i="2"/>
  <c r="S99" i="2"/>
  <c r="N99" i="2"/>
  <c r="M99" i="2"/>
  <c r="L99" i="2"/>
  <c r="BX99" i="2" s="1"/>
  <c r="BZ99" i="2" s="1"/>
  <c r="G99" i="2"/>
  <c r="CA98" i="2"/>
  <c r="BX98" i="2"/>
  <c r="BZ98" i="2" s="1"/>
  <c r="BV98" i="2"/>
  <c r="U98" i="2"/>
  <c r="T98" i="2"/>
  <c r="S98" i="2"/>
  <c r="N98" i="2"/>
  <c r="L98" i="2"/>
  <c r="G98" i="2"/>
  <c r="BX97" i="2"/>
  <c r="BV97" i="2"/>
  <c r="N97" i="2"/>
  <c r="G97" i="2"/>
  <c r="BX96" i="2"/>
  <c r="BV96" i="2"/>
  <c r="W96" i="2"/>
  <c r="U96" i="2"/>
  <c r="T96" i="2"/>
  <c r="S96" i="2"/>
  <c r="P96" i="2"/>
  <c r="N96" i="2"/>
  <c r="G96" i="2"/>
  <c r="BV95" i="2"/>
  <c r="W95" i="2"/>
  <c r="N95" i="2"/>
  <c r="L95" i="2"/>
  <c r="BX95" i="2" s="1"/>
  <c r="G95" i="2"/>
  <c r="BX94" i="2"/>
  <c r="BV94" i="2"/>
  <c r="W94" i="2"/>
  <c r="N94" i="2"/>
  <c r="G94" i="2"/>
  <c r="BV93" i="2"/>
  <c r="W93" i="2"/>
  <c r="U93" i="2"/>
  <c r="T93" i="2"/>
  <c r="S93" i="2"/>
  <c r="N93" i="2"/>
  <c r="L93" i="2"/>
  <c r="BX93" i="2" s="1"/>
  <c r="BX92" i="2"/>
  <c r="BV92" i="2"/>
  <c r="N92" i="2"/>
  <c r="G92" i="2"/>
  <c r="CA91" i="2"/>
  <c r="BV91" i="2"/>
  <c r="N91" i="2"/>
  <c r="L91" i="2"/>
  <c r="BX91" i="2" s="1"/>
  <c r="BZ91" i="2" s="1"/>
  <c r="G91" i="2"/>
  <c r="BX90" i="2"/>
  <c r="BV90" i="2"/>
  <c r="W90" i="2"/>
  <c r="U90" i="2"/>
  <c r="T90" i="2"/>
  <c r="S90" i="2"/>
  <c r="N90" i="2"/>
  <c r="G90" i="2"/>
  <c r="BV89" i="2"/>
  <c r="U89" i="2"/>
  <c r="T89" i="2"/>
  <c r="S89" i="2"/>
  <c r="N89" i="2"/>
  <c r="G89" i="2"/>
  <c r="BX88" i="2"/>
  <c r="BV88" i="2"/>
  <c r="W88" i="2"/>
  <c r="N88" i="2"/>
  <c r="G88" i="2"/>
  <c r="BX87" i="2"/>
  <c r="BV87" i="2"/>
  <c r="P87" i="2"/>
  <c r="N87" i="2"/>
  <c r="G87" i="2"/>
  <c r="BX86" i="2"/>
  <c r="BV86" i="2"/>
  <c r="W86" i="2"/>
  <c r="N86" i="2"/>
  <c r="G86" i="2"/>
  <c r="BX85" i="2"/>
  <c r="BV85" i="2"/>
  <c r="U85" i="2"/>
  <c r="T85" i="2"/>
  <c r="S85" i="2"/>
  <c r="N85" i="2"/>
  <c r="I85" i="2"/>
  <c r="G85" i="2"/>
  <c r="BX84" i="2"/>
  <c r="BV84" i="2"/>
  <c r="W84" i="2"/>
  <c r="U84" i="2"/>
  <c r="T84" i="2"/>
  <c r="S84" i="2"/>
  <c r="N84" i="2"/>
  <c r="G84" i="2"/>
  <c r="BX83" i="2"/>
  <c r="BV83" i="2"/>
  <c r="W83" i="2"/>
  <c r="U83" i="2"/>
  <c r="T83" i="2"/>
  <c r="S83" i="2"/>
  <c r="N83" i="2"/>
  <c r="G83" i="2"/>
  <c r="BX82" i="2"/>
  <c r="BV82" i="2"/>
  <c r="W82" i="2"/>
  <c r="N82" i="2"/>
  <c r="G82" i="2"/>
  <c r="BX81" i="2"/>
  <c r="BV81" i="2"/>
  <c r="W81" i="2"/>
  <c r="N81" i="2"/>
  <c r="G81" i="2"/>
  <c r="BX80" i="2"/>
  <c r="BV80" i="2"/>
  <c r="W80" i="2"/>
  <c r="N80" i="2"/>
  <c r="G80" i="2"/>
  <c r="BX79" i="2"/>
  <c r="BV79" i="2"/>
  <c r="W79" i="2"/>
  <c r="U79" i="2"/>
  <c r="T79" i="2"/>
  <c r="S79" i="2"/>
  <c r="N79" i="2"/>
  <c r="G79" i="2"/>
  <c r="BV78" i="2"/>
  <c r="N78" i="2"/>
  <c r="G78" i="2"/>
  <c r="BX77" i="2"/>
  <c r="BV77" i="2"/>
  <c r="W77" i="2"/>
  <c r="U77" i="2"/>
  <c r="T77" i="2"/>
  <c r="S77" i="2"/>
  <c r="G77" i="2"/>
  <c r="BX76" i="2"/>
  <c r="BV76" i="2"/>
  <c r="W76" i="2"/>
  <c r="N76" i="2"/>
  <c r="I76" i="2"/>
  <c r="G76" i="2"/>
  <c r="BX75" i="2"/>
  <c r="BV75" i="2"/>
  <c r="W75" i="2"/>
  <c r="U75" i="2"/>
  <c r="T75" i="2"/>
  <c r="S75" i="2"/>
  <c r="N75" i="2"/>
  <c r="G75" i="2"/>
  <c r="BX74" i="2"/>
  <c r="BV74" i="2"/>
  <c r="W74" i="2"/>
  <c r="N74" i="2"/>
  <c r="J74" i="2"/>
  <c r="G74" i="2"/>
  <c r="BX73" i="2"/>
  <c r="BV73" i="2"/>
  <c r="W73" i="2"/>
  <c r="N73" i="2"/>
  <c r="G73" i="2"/>
  <c r="BX72" i="2"/>
  <c r="BV72" i="2"/>
  <c r="U72" i="2"/>
  <c r="T72" i="2"/>
  <c r="S72" i="2"/>
  <c r="P72" i="2"/>
  <c r="N72" i="2"/>
  <c r="G72" i="2"/>
  <c r="BX71" i="2"/>
  <c r="BV71" i="2"/>
  <c r="U71" i="2"/>
  <c r="T71" i="2"/>
  <c r="S71" i="2"/>
  <c r="N71" i="2"/>
  <c r="I71" i="2"/>
  <c r="G71" i="2"/>
  <c r="BX70" i="2"/>
  <c r="BV70" i="2"/>
  <c r="N70" i="2"/>
  <c r="G70" i="2"/>
  <c r="BV69" i="2"/>
  <c r="W69" i="2"/>
  <c r="P69" i="2"/>
  <c r="N69" i="2"/>
  <c r="G69" i="2"/>
  <c r="BX68" i="2"/>
  <c r="BV68" i="2"/>
  <c r="AM68" i="2"/>
  <c r="N68" i="2"/>
  <c r="G68" i="2"/>
  <c r="BX67" i="2"/>
  <c r="BV67" i="2"/>
  <c r="N67" i="2"/>
  <c r="G67" i="2"/>
  <c r="BX66" i="2"/>
  <c r="BZ66" i="2" s="1"/>
  <c r="BV66" i="2"/>
  <c r="N66" i="2"/>
  <c r="M66" i="2"/>
  <c r="G66" i="2"/>
  <c r="BX65" i="2"/>
  <c r="BV65" i="2"/>
  <c r="N65" i="2"/>
  <c r="G65" i="2"/>
  <c r="BX64" i="2"/>
  <c r="BV64" i="2"/>
  <c r="AM64" i="2"/>
  <c r="N64" i="2"/>
  <c r="G64" i="2"/>
  <c r="BX63" i="2"/>
  <c r="BV63" i="2"/>
  <c r="W63" i="2"/>
  <c r="N63" i="2"/>
  <c r="G63" i="2"/>
  <c r="BX62" i="2"/>
  <c r="BV62" i="2"/>
  <c r="AM62" i="2"/>
  <c r="N62" i="2"/>
  <c r="I62" i="2"/>
  <c r="G62" i="2"/>
  <c r="BX61" i="2"/>
  <c r="BV61" i="2"/>
  <c r="N61" i="2"/>
  <c r="G61" i="2"/>
  <c r="BX60" i="2"/>
  <c r="BV60" i="2"/>
  <c r="W60" i="2"/>
  <c r="U60" i="2"/>
  <c r="T60" i="2"/>
  <c r="S60" i="2"/>
  <c r="N60" i="2"/>
  <c r="G60" i="2"/>
  <c r="BX59" i="2"/>
  <c r="BV59" i="2"/>
  <c r="W59" i="2"/>
  <c r="N59" i="2"/>
  <c r="G59" i="2"/>
  <c r="BX58" i="2"/>
  <c r="BV58" i="2"/>
  <c r="N58" i="2"/>
  <c r="I58" i="2"/>
  <c r="G58" i="2"/>
  <c r="BX57" i="2"/>
  <c r="BV57" i="2"/>
  <c r="N57" i="2"/>
  <c r="G57" i="2"/>
  <c r="BX56" i="2"/>
  <c r="BV56" i="2"/>
  <c r="W56" i="2"/>
  <c r="N56" i="2"/>
  <c r="G56" i="2"/>
  <c r="BX55" i="2"/>
  <c r="BV55" i="2"/>
  <c r="W55" i="2"/>
  <c r="G55" i="2"/>
  <c r="BX54" i="2"/>
  <c r="BV54" i="2"/>
  <c r="P54" i="2"/>
  <c r="N54" i="2"/>
  <c r="G54" i="2"/>
  <c r="CA53" i="2"/>
  <c r="BV53" i="2"/>
  <c r="W53" i="2"/>
  <c r="N53" i="2"/>
  <c r="L53" i="2"/>
  <c r="BX53" i="2" s="1"/>
  <c r="G53" i="2"/>
  <c r="BX52" i="2"/>
  <c r="BV52" i="2"/>
  <c r="W52" i="2"/>
  <c r="U52" i="2"/>
  <c r="T52" i="2"/>
  <c r="S52" i="2"/>
  <c r="P52" i="2"/>
  <c r="N52" i="2"/>
  <c r="G52" i="2"/>
  <c r="BX51" i="2"/>
  <c r="BV51" i="2"/>
  <c r="W51" i="2"/>
  <c r="U51" i="2"/>
  <c r="T51" i="2"/>
  <c r="S51" i="2"/>
  <c r="N51" i="2"/>
  <c r="G51" i="2"/>
  <c r="BV50" i="2"/>
  <c r="N50" i="2"/>
  <c r="G50" i="2"/>
  <c r="BX49" i="2"/>
  <c r="BV49" i="2"/>
  <c r="N49" i="2"/>
  <c r="M49" i="2"/>
  <c r="G49" i="2"/>
  <c r="BX48" i="2"/>
  <c r="BV48" i="2"/>
  <c r="N48" i="2"/>
  <c r="G48" i="2"/>
  <c r="BX47" i="2"/>
  <c r="BV47" i="2"/>
  <c r="N47" i="2"/>
  <c r="G47" i="2"/>
  <c r="BX46" i="2"/>
  <c r="BV46" i="2"/>
  <c r="N46" i="2"/>
  <c r="G46" i="2"/>
  <c r="BX45" i="2"/>
  <c r="BV45" i="2"/>
  <c r="W45" i="2"/>
  <c r="N45" i="2"/>
  <c r="G45" i="2"/>
  <c r="BX44" i="2"/>
  <c r="BV44" i="2"/>
  <c r="W44" i="2"/>
  <c r="N44" i="2"/>
  <c r="G44" i="2"/>
  <c r="BX43" i="2"/>
  <c r="BV43" i="2"/>
  <c r="G43" i="2"/>
  <c r="BX42" i="2"/>
  <c r="BV42" i="2"/>
  <c r="AM42" i="2"/>
  <c r="U42" i="2"/>
  <c r="T42" i="2"/>
  <c r="S42" i="2"/>
  <c r="P42" i="2"/>
  <c r="N42" i="2"/>
  <c r="G42" i="2"/>
  <c r="BX41" i="2"/>
  <c r="BV41" i="2"/>
  <c r="N41" i="2"/>
  <c r="G41" i="2"/>
  <c r="BX40" i="2"/>
  <c r="BV40" i="2"/>
  <c r="W40" i="2"/>
  <c r="N40" i="2"/>
  <c r="G40" i="2"/>
  <c r="BX39" i="2"/>
  <c r="BV39" i="2"/>
  <c r="N39" i="2"/>
  <c r="G39" i="2"/>
  <c r="BX38" i="2"/>
  <c r="BV38" i="2"/>
  <c r="W38" i="2"/>
  <c r="N38" i="2"/>
  <c r="G38" i="2"/>
  <c r="BX37" i="2"/>
  <c r="BV37" i="2"/>
  <c r="W37" i="2"/>
  <c r="U37" i="2"/>
  <c r="T37" i="2"/>
  <c r="S37" i="2"/>
  <c r="G37" i="2"/>
  <c r="BX36" i="2"/>
  <c r="BV36" i="2"/>
  <c r="U36" i="2"/>
  <c r="T36" i="2"/>
  <c r="S36" i="2"/>
  <c r="N36" i="2"/>
  <c r="G36" i="2"/>
  <c r="BX35" i="2"/>
  <c r="BV35" i="2"/>
  <c r="W35" i="2"/>
  <c r="P35" i="2"/>
  <c r="N35" i="2"/>
  <c r="G35" i="2"/>
  <c r="BX34" i="2"/>
  <c r="BV34" i="2"/>
  <c r="W34" i="2"/>
  <c r="N34" i="2"/>
  <c r="G34" i="2"/>
  <c r="BX33" i="2"/>
  <c r="BV33" i="2"/>
  <c r="W33" i="2"/>
  <c r="G33" i="2"/>
  <c r="BX32" i="2"/>
  <c r="BV32" i="2"/>
  <c r="W32" i="2"/>
  <c r="G32" i="2"/>
  <c r="BX31" i="2"/>
  <c r="BV31" i="2"/>
  <c r="W31" i="2"/>
  <c r="U31" i="2"/>
  <c r="T31" i="2"/>
  <c r="S31" i="2"/>
  <c r="N31" i="2"/>
  <c r="G31" i="2"/>
  <c r="BX30" i="2"/>
  <c r="BV30" i="2"/>
  <c r="W30" i="2"/>
  <c r="G30" i="2"/>
  <c r="BX29" i="2"/>
  <c r="BV29" i="2"/>
  <c r="G29" i="2"/>
  <c r="BX28" i="2"/>
  <c r="BV28" i="2"/>
  <c r="W28" i="2"/>
  <c r="N28" i="2"/>
  <c r="G28" i="2"/>
  <c r="BX27" i="2"/>
  <c r="BV27" i="2"/>
  <c r="N27" i="2"/>
  <c r="G27" i="2"/>
  <c r="BX26" i="2"/>
  <c r="BV26" i="2"/>
  <c r="X26" i="2"/>
  <c r="P26" i="2"/>
  <c r="N26" i="2"/>
  <c r="G26" i="2"/>
  <c r="BX25" i="2"/>
  <c r="BV25" i="2"/>
  <c r="U25" i="2"/>
  <c r="T25" i="2"/>
  <c r="S25" i="2"/>
  <c r="P25" i="2"/>
  <c r="N25" i="2"/>
  <c r="I25" i="2"/>
  <c r="G25" i="2"/>
  <c r="BX24" i="2"/>
  <c r="BV24" i="2"/>
  <c r="W24" i="2"/>
  <c r="N24" i="2"/>
  <c r="G24" i="2"/>
  <c r="BX23" i="2"/>
  <c r="BV23" i="2"/>
  <c r="U23" i="2"/>
  <c r="T23" i="2"/>
  <c r="S23" i="2"/>
  <c r="N23" i="2"/>
  <c r="G23" i="2"/>
  <c r="BX22" i="2"/>
  <c r="BV22" i="2"/>
  <c r="W22" i="2"/>
  <c r="U22" i="2"/>
  <c r="T22" i="2"/>
  <c r="S22" i="2"/>
  <c r="N22" i="2"/>
  <c r="G22" i="2"/>
  <c r="BX21" i="2"/>
  <c r="BV21" i="2"/>
  <c r="N21" i="2"/>
  <c r="G21" i="2"/>
  <c r="BX20" i="2"/>
  <c r="BV20" i="2"/>
  <c r="G20" i="2"/>
  <c r="BX19" i="2"/>
  <c r="BV19" i="2"/>
  <c r="W19" i="2"/>
  <c r="U19" i="2"/>
  <c r="T19" i="2"/>
  <c r="S19" i="2"/>
  <c r="G19" i="2"/>
  <c r="BX18" i="2"/>
  <c r="BV18" i="2"/>
  <c r="W18" i="2"/>
  <c r="N18" i="2"/>
  <c r="G18" i="2"/>
  <c r="BX17" i="2"/>
  <c r="BV17" i="2"/>
  <c r="G17" i="2"/>
  <c r="BX16" i="2"/>
  <c r="BV16" i="2"/>
  <c r="W16" i="2"/>
  <c r="G16" i="2"/>
  <c r="BX15" i="2"/>
  <c r="BV15" i="2"/>
  <c r="P15" i="2"/>
  <c r="N15" i="2"/>
  <c r="G15" i="2"/>
  <c r="BX14" i="2"/>
  <c r="BV14" i="2"/>
  <c r="W14" i="2"/>
  <c r="N14" i="2"/>
  <c r="G14" i="2"/>
  <c r="BX13" i="2"/>
  <c r="BV13" i="2"/>
  <c r="W13" i="2"/>
  <c r="P13" i="2"/>
  <c r="N13" i="2"/>
  <c r="G13" i="2"/>
  <c r="BX12" i="2"/>
  <c r="BV12" i="2"/>
  <c r="W12" i="2"/>
  <c r="N12" i="2"/>
  <c r="G12" i="2"/>
  <c r="BX11" i="2"/>
  <c r="BV11" i="2"/>
  <c r="W11" i="2"/>
  <c r="N11" i="2"/>
  <c r="G11" i="2"/>
  <c r="BX10" i="2"/>
  <c r="BV10" i="2"/>
  <c r="G10" i="2"/>
  <c r="BX9" i="2"/>
  <c r="BV9" i="2"/>
  <c r="N9" i="2"/>
  <c r="G9" i="2"/>
  <c r="BX8" i="2"/>
  <c r="BV8" i="2"/>
  <c r="W8" i="2"/>
  <c r="N8" i="2"/>
  <c r="G8" i="2"/>
  <c r="BV7" i="2"/>
  <c r="G7" i="2"/>
  <c r="BX6" i="2"/>
  <c r="BV6" i="2"/>
  <c r="W6" i="2"/>
  <c r="G6" i="2"/>
  <c r="BX5" i="2"/>
  <c r="BV5" i="2"/>
  <c r="W5" i="2"/>
  <c r="G5" i="2"/>
  <c r="BX4" i="2"/>
  <c r="BV4" i="2"/>
  <c r="W4" i="2"/>
  <c r="N4" i="2"/>
  <c r="G4" i="2"/>
  <c r="BX3" i="2"/>
  <c r="BV3" i="2"/>
  <c r="I3" i="2" s="1"/>
  <c r="W3" i="2"/>
  <c r="G3" i="2"/>
  <c r="BX2" i="2"/>
  <c r="BV2" i="2"/>
  <c r="W2" i="2"/>
  <c r="G2" i="2"/>
  <c r="BY1" i="2"/>
  <c r="B10" i="1"/>
  <c r="AB120" i="2" l="1"/>
  <c r="R115" i="2"/>
  <c r="Z99" i="2"/>
  <c r="AB62" i="2"/>
  <c r="X113" i="2"/>
  <c r="AD66" i="2"/>
  <c r="Y114" i="2"/>
  <c r="W114" i="2" s="1"/>
  <c r="AB80" i="2"/>
  <c r="Y21" i="2"/>
  <c r="W21" i="2" s="1"/>
  <c r="Y117" i="2"/>
  <c r="W117" i="2" s="1"/>
  <c r="Y118" i="2"/>
  <c r="W118" i="2" s="1"/>
  <c r="Z91" i="2"/>
  <c r="Y36" i="2"/>
  <c r="W36" i="2" s="1"/>
  <c r="Y113" i="2"/>
  <c r="W113" i="2" s="1"/>
  <c r="AB21" i="2"/>
  <c r="AB36" i="2"/>
  <c r="Z113" i="2"/>
  <c r="Q73" i="2"/>
  <c r="T73" i="2" s="1"/>
  <c r="AB95" i="2"/>
  <c r="X100" i="2"/>
  <c r="M114" i="2"/>
  <c r="Y92" i="2"/>
  <c r="W92" i="2" s="1"/>
  <c r="Z121" i="2"/>
  <c r="Z19" i="2"/>
  <c r="AB19" i="2"/>
  <c r="AB113" i="2"/>
  <c r="Y106" i="2"/>
  <c r="W106" i="2" s="1"/>
  <c r="AD113" i="2"/>
  <c r="R104" i="2"/>
  <c r="AD114" i="2"/>
  <c r="AB76" i="2"/>
  <c r="X98" i="2"/>
  <c r="X106" i="2"/>
  <c r="M117" i="2"/>
  <c r="R73" i="2"/>
  <c r="Q78" i="2"/>
  <c r="Y98" i="2"/>
  <c r="W98" i="2" s="1"/>
  <c r="Y100" i="2"/>
  <c r="W100" i="2" s="1"/>
  <c r="Y111" i="2"/>
  <c r="X115" i="2"/>
  <c r="Q116" i="2"/>
  <c r="R78" i="2"/>
  <c r="Z98" i="2"/>
  <c r="R99" i="2"/>
  <c r="Z100" i="2"/>
  <c r="X104" i="2"/>
  <c r="AB106" i="2"/>
  <c r="AB111" i="2"/>
  <c r="H113" i="2"/>
  <c r="Y115" i="2"/>
  <c r="W115" i="2" s="1"/>
  <c r="R116" i="2"/>
  <c r="H99" i="2"/>
  <c r="Z117" i="2"/>
  <c r="R26" i="2"/>
  <c r="Z95" i="2"/>
  <c r="Y104" i="2"/>
  <c r="W104" i="2" s="1"/>
  <c r="AB91" i="2"/>
  <c r="Z114" i="2"/>
  <c r="AB117" i="2"/>
  <c r="AB121" i="2"/>
  <c r="R22" i="2"/>
  <c r="AB98" i="2"/>
  <c r="X107" i="2"/>
  <c r="Q120" i="2"/>
  <c r="S120" i="2" s="1"/>
  <c r="AD100" i="2"/>
  <c r="R120" i="2"/>
  <c r="Z36" i="2"/>
  <c r="AB112" i="2"/>
  <c r="H100" i="2"/>
  <c r="H91" i="2"/>
  <c r="Z104" i="2"/>
  <c r="Q117" i="2"/>
  <c r="X117" i="2" s="1"/>
  <c r="H42" i="2"/>
  <c r="Q92" i="2"/>
  <c r="H92" i="2" s="1"/>
  <c r="M100" i="2"/>
  <c r="AB104" i="2"/>
  <c r="H106" i="2"/>
  <c r="Z107" i="2"/>
  <c r="R113" i="2"/>
  <c r="H115" i="2"/>
  <c r="AD115" i="2"/>
  <c r="R117" i="2"/>
  <c r="R121" i="2"/>
  <c r="AB100" i="2"/>
  <c r="H36" i="2"/>
  <c r="M106" i="2"/>
  <c r="M19" i="2"/>
  <c r="R95" i="2"/>
  <c r="R19" i="2"/>
  <c r="R62" i="2"/>
  <c r="Y66" i="2"/>
  <c r="W66" i="2" s="1"/>
  <c r="M98" i="2"/>
  <c r="H104" i="2"/>
  <c r="AB107" i="2"/>
  <c r="Y116" i="2"/>
  <c r="W116" i="2" s="1"/>
  <c r="Q118" i="2"/>
  <c r="U118" i="2" s="1"/>
  <c r="Y120" i="2"/>
  <c r="W120" i="2" s="1"/>
  <c r="AB99" i="2"/>
  <c r="AB118" i="2"/>
  <c r="AD91" i="2"/>
  <c r="AD106" i="2"/>
  <c r="H98" i="2"/>
  <c r="Y107" i="2"/>
  <c r="W107" i="2" s="1"/>
  <c r="Q121" i="2"/>
  <c r="H121" i="2" s="1"/>
  <c r="X5" i="2"/>
  <c r="X37" i="2"/>
  <c r="Z66" i="2"/>
  <c r="X99" i="2"/>
  <c r="AD107" i="2"/>
  <c r="M115" i="2"/>
  <c r="Y119" i="2"/>
  <c r="W119" i="2" s="1"/>
  <c r="Q26" i="2"/>
  <c r="Z73" i="2"/>
  <c r="Z115" i="2"/>
  <c r="Z26" i="2"/>
  <c r="H77" i="2"/>
  <c r="Q95" i="2"/>
  <c r="X95" i="2" s="1"/>
  <c r="AD98" i="2"/>
  <c r="AB115" i="2"/>
  <c r="Q119" i="2"/>
  <c r="U119" i="2" s="1"/>
  <c r="AB26" i="2"/>
  <c r="Y62" i="2"/>
  <c r="W62" i="2" s="1"/>
  <c r="Y78" i="2"/>
  <c r="W78" i="2" s="1"/>
  <c r="X91" i="2"/>
  <c r="R100" i="2"/>
  <c r="H107" i="2"/>
  <c r="Z116" i="2"/>
  <c r="R118" i="2"/>
  <c r="Z120" i="2"/>
  <c r="AD53" i="2"/>
  <c r="Z62" i="2"/>
  <c r="AB66" i="2"/>
  <c r="AB78" i="2"/>
  <c r="Y91" i="2"/>
  <c r="W91" i="2" s="1"/>
  <c r="R98" i="2"/>
  <c r="Y99" i="2"/>
  <c r="W99" i="2" s="1"/>
  <c r="R106" i="2"/>
  <c r="R112" i="2"/>
  <c r="X114" i="2"/>
  <c r="AB116" i="2"/>
  <c r="Z119" i="2"/>
  <c r="U73" i="2"/>
  <c r="Y121" i="2"/>
  <c r="W121" i="2" s="1"/>
  <c r="AB119" i="2"/>
  <c r="X116" i="2"/>
  <c r="AB114" i="2"/>
  <c r="M113" i="2"/>
  <c r="Q112" i="2"/>
  <c r="H112" i="2" s="1"/>
  <c r="R107" i="2"/>
  <c r="Z106" i="2"/>
  <c r="AD104" i="2"/>
  <c r="AD99" i="2"/>
  <c r="M91" i="2"/>
  <c r="M84" i="2"/>
  <c r="Z78" i="2"/>
  <c r="Q62" i="2"/>
  <c r="X53" i="2"/>
  <c r="Z21" i="2"/>
  <c r="X120" i="2"/>
  <c r="R119" i="2"/>
  <c r="Z118" i="2"/>
  <c r="U117" i="2"/>
  <c r="X118" i="2" l="1"/>
  <c r="H120" i="2"/>
  <c r="T118" i="2"/>
  <c r="M120" i="2"/>
  <c r="U120" i="2"/>
  <c r="S73" i="2"/>
  <c r="M118" i="2"/>
  <c r="H117" i="2"/>
  <c r="S118" i="2"/>
  <c r="T120" i="2"/>
  <c r="H119" i="2"/>
  <c r="H118" i="2"/>
  <c r="T116" i="2"/>
  <c r="U116" i="2"/>
  <c r="S116" i="2"/>
  <c r="M119" i="2"/>
  <c r="U92" i="2"/>
  <c r="T92" i="2"/>
  <c r="S92" i="2"/>
  <c r="X119" i="2"/>
  <c r="M116" i="2"/>
  <c r="T117" i="2"/>
  <c r="S117" i="2"/>
  <c r="U78" i="2"/>
  <c r="T78" i="2"/>
  <c r="S78" i="2"/>
  <c r="U121" i="2"/>
  <c r="T121" i="2"/>
  <c r="S121" i="2"/>
  <c r="H116" i="2"/>
  <c r="S119" i="2"/>
  <c r="U95" i="2"/>
  <c r="T95" i="2"/>
  <c r="S95" i="2"/>
  <c r="T119" i="2"/>
  <c r="X121" i="2"/>
  <c r="U26" i="2"/>
  <c r="T26" i="2"/>
  <c r="S26" i="2"/>
  <c r="S112" i="2"/>
  <c r="U112" i="2"/>
  <c r="T112" i="2"/>
  <c r="T62" i="2"/>
  <c r="S62" i="2"/>
  <c r="U62" i="2"/>
</calcChain>
</file>

<file path=xl/sharedStrings.xml><?xml version="1.0" encoding="utf-8"?>
<sst xmlns="http://schemas.openxmlformats.org/spreadsheetml/2006/main" count="3568" uniqueCount="2629">
  <si>
    <t>Key</t>
  </si>
  <si>
    <t>Value</t>
  </si>
  <si>
    <t>Provider</t>
  </si>
  <si>
    <t>Help</t>
  </si>
  <si>
    <t>Logo_Path</t>
  </si>
  <si>
    <t>assets/logos/logo_2026_W256.webp</t>
  </si>
  <si>
    <t>Logo_Color_Primary</t>
  </si>
  <si>
    <t>#03162e</t>
  </si>
  <si>
    <t>Logo_Color_Secondary</t>
  </si>
  <si>
    <t>#F15E22</t>
  </si>
  <si>
    <t>Bizcard_Background</t>
  </si>
  <si>
    <t>assets/background/260321_tannien/xuanbinhngo2026-9.webp</t>
  </si>
  <si>
    <t>Video_Poster</t>
  </si>
  <si>
    <t>assets/background/Old/hailang1_w1920.webp</t>
  </si>
  <si>
    <t>Video_Youtube_Embed</t>
  </si>
  <si>
    <t>https://www.youtube.com/embed/lDcho0_T1t4?si=p15MUVGVKzCsHIWQ</t>
  </si>
  <si>
    <t>Chatbot_Validity</t>
  </si>
  <si>
    <t>Grok</t>
  </si>
  <si>
    <t>xai-PJlxoPjoJ7VLceM8AiqZ9MFytsrC7awaPfndf3am4bv1yYl9hB3M2Ph3QFwZFzMUzwD5UO4nSVlcKlr9</t>
  </si>
  <si>
    <t>Ví dụ sử dụng bằng curl:
curl https://api.x.ai/v1/chat/completions \
    -H "Content-Type: application/json" \
    -H "Authorization: Bearer ${DEEPSEEK_API_KEY}" \
    -d '{
      "messages": [
        {
          "role": "system",
          "content": "You are a test assistant."
        },
        {
          "role": "user",
          "content": "Testing. Just say hi and hello world and nothing else."
        }
      ],
      "model": "grok-4-latest",
      "stream": false,
      "temperature": 0
    }'</t>
  </si>
  <si>
    <t>LLM_Model</t>
  </si>
  <si>
    <t>DeepSeek</t>
  </si>
  <si>
    <t>sk-239fe2eaa81f42589640c4ce0fd7a2b1</t>
  </si>
  <si>
    <t>Ví dụ sử dụng bằng curl:
curl https://api.deepseek.com/chat/completions \
  -H "Content-Type: application/json" \
  -H "Authorization: Bearer ${DEEPSEEK_API_KEY}" \
  -d '{
        "model": "deepseek-chat",
        "messages": [
          {"role": "system", "content": "You are a helpful assistant."},
          {"role": "user", "content": "Hello!"}
        ],
        "stream": false
      }'</t>
  </si>
  <si>
    <t>LLM_API_Key</t>
  </si>
  <si>
    <t>Gemini</t>
  </si>
  <si>
    <t>AIzaSyCEDwjhauXoSkowfrijykYohj_wpPnwEyw</t>
  </si>
  <si>
    <t>Ví dụ sử dụng bằng app script:
// See https://developers.google.com/apps-script/guides/properties
// for instructions on how to set the API key.
const apiKey = PropertiesService.getScriptProperties().getProperty('GEMINI_API_KEY');
function main() {
  const payload = {
    contents: [
      {
        parts: [
          { text: 'Explain how AI works in a few words' },
        ],
      },
    ],
  };
  const url = 'https://generativelanguage.googleapis.com/v1beta/models/gemini-3-flash-preview:generateContent';
  const options = {
    method: 'POST',
    contentType: 'application/json',
    headers: {
      'x-goog-api-key': apiKey,
    },
    payload: JSON.stringify(payload)
  };
  const response = UrlFetchApp.fetch(url, options);
  const data = JSON.parse(response);
  const content = data['candidates'][0]['content']['parts'][0]['text'];
  console.log(content);
}</t>
  </si>
  <si>
    <t>LLM_Max_Token</t>
  </si>
  <si>
    <t>LLM_Guide</t>
  </si>
  <si>
    <t>Chuyên nghiệp và ngắn gọn với tối đa 3 câu, dịu dàng nữ tính như đang là thư ký của doanh nhân tương ứng, bám sát câu hỏi, không trả lời ngoài lĩnh vực, chỉ tập trung vào những thông tin liên quan doanh nhân thành viên CLB Doanh nhân Quảng Trị và doanh nghiệp của doanh nhân thành viên, sản phẩm và dịch vụ.</t>
  </si>
  <si>
    <t>Master_Book</t>
  </si>
  <si>
    <t>QTBC@2026</t>
  </si>
  <si>
    <t>https://www.youtube.com/embed/k8m0SaGQ_1c?si=JQv6cXfoy1BQeaOF</t>
  </si>
  <si>
    <t>https://www.youtube.com/embed/AazhHUSacKM?si=DyutBUT3SiGligPL</t>
  </si>
  <si>
    <t>https://www.youtube.com/embed/od1RqQ8N4PI?si=js9CGwR0SVdUkeLR</t>
  </si>
  <si>
    <t>https://www.youtube.com/embed/MWTPKYbB4WM?si=qMbbLrjLwZ6AakxU</t>
  </si>
  <si>
    <t>https://www.youtube.com/embed/ejSyzR3zcIY?si=ayMqfld3DS-s88j4</t>
  </si>
  <si>
    <t>https://www.youtube.com/embed/KgsISDezYZo?si=1pl9kN3YTot1SSCZ</t>
  </si>
  <si>
    <t>Visibility</t>
  </si>
  <si>
    <t>Member_ID</t>
  </si>
  <si>
    <t>Member_ID_Old</t>
  </si>
  <si>
    <t>Member_Title</t>
  </si>
  <si>
    <t>Member_Name</t>
  </si>
  <si>
    <t>Member_Avatar</t>
  </si>
  <si>
    <t>Member_Avatar_Small</t>
  </si>
  <si>
    <t>Member_Position</t>
  </si>
  <si>
    <t>Member_Company</t>
  </si>
  <si>
    <t>Member_Company_Short</t>
  </si>
  <si>
    <t>Tax_Code</t>
  </si>
  <si>
    <t>Company_Logo</t>
  </si>
  <si>
    <t>Company_Addr1</t>
  </si>
  <si>
    <t>Company_Addr1_MapURL</t>
  </si>
  <si>
    <t>Company_Addr2</t>
  </si>
  <si>
    <t>Company_Addr2_MapURL</t>
  </si>
  <si>
    <t>Mobile</t>
  </si>
  <si>
    <t>Email</t>
  </si>
  <si>
    <t>Chat_Zalo</t>
  </si>
  <si>
    <t>Chat_Viber</t>
  </si>
  <si>
    <t>Chat_Whatsapp</t>
  </si>
  <si>
    <t>Chat_Wechat</t>
  </si>
  <si>
    <t>Chat_Facebook</t>
  </si>
  <si>
    <t>Website</t>
  </si>
  <si>
    <t>Facebook_Profile</t>
  </si>
  <si>
    <t>Tiktok_Profile</t>
  </si>
  <si>
    <t>Hathyo_Profile</t>
  </si>
  <si>
    <t>Linkedin_Profile</t>
  </si>
  <si>
    <t>Business1</t>
  </si>
  <si>
    <t>Business2</t>
  </si>
  <si>
    <t>Business3</t>
  </si>
  <si>
    <t>Business4</t>
  </si>
  <si>
    <t>Business5</t>
  </si>
  <si>
    <t>Business6</t>
  </si>
  <si>
    <t>Business7</t>
  </si>
  <si>
    <t>Business8</t>
  </si>
  <si>
    <t>Business9</t>
  </si>
  <si>
    <t>Business10</t>
  </si>
  <si>
    <t>Slogan</t>
  </si>
  <si>
    <t>Businessmen_Profile</t>
  </si>
  <si>
    <t>Business_Profile</t>
  </si>
  <si>
    <t>Product_01_Name</t>
  </si>
  <si>
    <t>Product_01_Image</t>
  </si>
  <si>
    <t>Product_01_Description</t>
  </si>
  <si>
    <t>Product_02_Name</t>
  </si>
  <si>
    <t>Product_02_Image</t>
  </si>
  <si>
    <t>Product_02_Description</t>
  </si>
  <si>
    <t>Product_03_Name</t>
  </si>
  <si>
    <t>Product_03_Image</t>
  </si>
  <si>
    <t>Product_03_Description</t>
  </si>
  <si>
    <t>Product_04_Name</t>
  </si>
  <si>
    <t>Product_04_Image</t>
  </si>
  <si>
    <t>Product_04_Description</t>
  </si>
  <si>
    <t>Product_05_Name</t>
  </si>
  <si>
    <t>Product_05_Image</t>
  </si>
  <si>
    <t>Product_05_Description</t>
  </si>
  <si>
    <t>Product_06_Name</t>
  </si>
  <si>
    <t>Product_06_Image</t>
  </si>
  <si>
    <t>Product_06_Description</t>
  </si>
  <si>
    <t>Product_07_Name</t>
  </si>
  <si>
    <t>Product_07_Image</t>
  </si>
  <si>
    <t>Product_07_Description</t>
  </si>
  <si>
    <t>Product_08_Name</t>
  </si>
  <si>
    <t>Product_08_Image</t>
  </si>
  <si>
    <t>Product_08_Description</t>
  </si>
  <si>
    <t>Product_09_Name</t>
  </si>
  <si>
    <t>Product_09_Image</t>
  </si>
  <si>
    <t>Product_09_Description</t>
  </si>
  <si>
    <t>Product_10_Name</t>
  </si>
  <si>
    <t>Product_10_Image</t>
  </si>
  <si>
    <t>Product_10_Description</t>
  </si>
  <si>
    <t>Assistant_Name</t>
  </si>
  <si>
    <t>Dup_Check</t>
  </si>
  <si>
    <t>MST</t>
  </si>
  <si>
    <t>Temp (=X)</t>
  </si>
  <si>
    <t>Member_Avatar_Original</t>
  </si>
  <si>
    <t>Company_Logo_Original</t>
  </si>
  <si>
    <t>A001</t>
  </si>
  <si>
    <t>Mr.</t>
  </si>
  <si>
    <t>Nguyễn Đặng Hiến</t>
  </si>
  <si>
    <t>NDH_W128.webp</t>
  </si>
  <si>
    <t>Chủ tịch CLB &amp; TGĐ</t>
  </si>
  <si>
    <t>CÔNG TY TNHH SX &amp; TM TÂN QUANG MINH</t>
  </si>
  <si>
    <t>BIDRICO</t>
  </si>
  <si>
    <t>0302395763</t>
  </si>
  <si>
    <t>channels4_profile.jpg</t>
  </si>
  <si>
    <t>Lô C21/I, Đường số 2F, KCN Vĩnh Lộc, Xã Vĩnh Lộc, TP. Hồ Chí Minh, VN</t>
  </si>
  <si>
    <t>https://maps.app.goo.gl/vWHuEgsUhrd2Cxd76</t>
  </si>
  <si>
    <t>0918418088</t>
  </si>
  <si>
    <t>marketing@bidrico.com.vn</t>
  </si>
  <si>
    <t>84918418088</t>
  </si>
  <si>
    <t>https://bidrico.com.vn</t>
  </si>
  <si>
    <t>https://fb.com/NuocGiaiKhatBidrico</t>
  </si>
  <si>
    <t>https://hathyo.com/product</t>
  </si>
  <si>
    <t>Nhóm Nước uống đóng bình &amp; chai</t>
  </si>
  <si>
    <t>Nước Yến sào &amp; Thực phẩm bổ dưỡng</t>
  </si>
  <si>
    <t>Nước giải khát có Gaz &amp; Không Gaz</t>
  </si>
  <si>
    <t>Nước tăng lực (Chai, Lon, Ly)</t>
  </si>
  <si>
    <t>Nước uống Ion Kiềm (Ion Green)</t>
  </si>
  <si>
    <t>Dịch vụ gia công chiến lược (OEM)</t>
  </si>
  <si>
    <t>Hệ thống phân phối nội địa (MT/GT)</t>
  </si>
  <si>
    <t>Thị trường xuất khẩu quốc tế</t>
  </si>
  <si>
    <t>VÌ SỨC KHỎE CỘNG ĐỒNG</t>
  </si>
  <si>
    <t>BIDRICO – Trái tim của một người con đất Quảng Trị
Nơi mình sinh ra là nơi mình phải có trách nhiệm trở lại. Thành công không khép lại, mà là khởi đầu cho một hành trình tri ân.
Câu nói ấy không chỉ là tâm niệm, mà là hành động suốt mấy chục năm của một con người Nguyễn Đặng Hiến, Giám đốc Công ty TNHH Tân Quang Minh – Bidrico, người con của Cổ Lũy, Hải Lăng, Quảng Trị.
Bidrico – Hành trình hơn 30 năm vươn tầm ra thế giới.Bắt đầu từ năm 1992, một xưởng nhỏ rộng chỉ 600 m² với vỏn vẹn 26 công nhân giữa Sài Gòn, ông Hiến đặt tên là Quang Minh – mang ý nghĩa ánh sáng, là ánh sáng của niềm tin, ý chí và khát vọng.
Ba thập kỷ sau, Bidrico đã trở thành một trong những thương hiệu nước giải khát hàng đầu Việt Nam. Nhà máy rộng 15.000 m² với 12 dây chuyền chiết rót tiệt trùng UHT hiện đại, đạt chuẩn ISO, HACCP, FDA Mỹ.
Sản phẩm Bidrico không chỉ phục vụ hàng ngàn đại lý toàn quốc, mà đã hiện diện tại hơn 15 quốc gia – từ Mỹ, châu Âu đến Nhật Bản, những thị trường khắt khe bậc nhất.
Từ nước khoáng ion kiềm, bình 19L, đến các dòng sản phẩm như Yobi, Anuta, Restore, nước yến… mỗi giọt nước, mỗi lon sản phẩm đều mang trong mình sự chỉn chu, tâm huyết và khát vọng chinh phục.
Người mang “Trái tim Quảng Trị” vào từng sản phẩm
Sinh ra trong khói lửa chiến tranh tại vùng quê nghèo Quảng Trị, ông Nguyễn Đặng Hiến rời quê vào Nam năm 1968, mang theo trong hành trang hai bàn tay trắng và một trái tim cháy bỏng ước mơ.
Ông từng là giảng viên ngành Tài chính – Ngân hàng, tốt nghiệp đại học năm 1978. Đến tuổi 40, ông bắt đầu khởi nghiệp, không bằng tiền, mà bằng tri thức và sự kiên định.
Năm 2011, ông lấy Thạc sĩ Quản trị kinh doanh – MBA từ Đại học CNAM, Paris, Cộng hòa Pháp.Năm 2018, ông được vinh danh là Giáo sư danh dự của Đại học Oxford – Anh Quốc, trở thành hội viên chính thức của Hiệp hội Học thuật Oxford – điều hiếm hoi với một doanh nhân người Việt.
Nhưng ông chưa bao giờ nói nhiều về học hàm học vị, bởi theo ông:
“Khách hàng hài lòng là thước đo chân thực nhất cho chất lượng, cho sự tử tế và lòng tin mà mình gửi gắm vào từng sản phẩm.
Bidrico – Hơi thở Quảng Trị trong một thương hiệu Việt
Bidrico không chỉ là nước uống đó là bản giao hưởng của tinh thần Quảng Trị, là sự chỉn chu, kiên định và bền bỉ như người dân quê ông.
Mỗi giọt nước là một câu chuyện,về khát vọng vươn lên từ vùng đất gió Lào, cát trắng, về một người con không bao giờ quên gốc rễ.
“Giao thương – Kết nối – Phát triển - Đoàn kết” đó chính là trái tim của ông Nguyễn Đặng Hiến, Không những sản phẩm của Bidrico vươn xa mà ông còn muốn các sản phẩm của Doanh Nghiệp Quảng Trị bay xa cùng ông trên khắp năm châu và đó chính là một nguồn cảm hứng nguồn động lực cho cộng đồng doanh nhân Quảng Trị hôm nay.</t>
  </si>
  <si>
    <t>PHẦN 1: GIỚI THIỆU CÔNG TY &amp; LỊCH SỬ
Thông tin        Giá trị
Công ty        Công Ty TNHH SX&amp;TM Tân Quang Minh - Bidrico
Tiền thân        Cơ sở Quang Minh
Năm thành lập        1992 tại quận Bình Thạnh TP.HCM
Năm đổi tên        2001
Địa chỉ nhà máy        Lô C21/I Đường 2F KCN Vĩnh Lộc Xã Vĩnh Lộc huyện Bình Chánh TP.HCM
Diện tích nhà máy        15000 m2
Số dây chuyền sản xuất        12 dây chuyền nhập khẩu từ Pháp Đức Thụy Điển Mỹ
Chứng nhận        ISO 9001:2015 HACCP cGMP Halal FDA FCE SID Mỹ
Thương hiệu chính        Bidrico A*nuta Restore Yobi Bi’s Nest Bi-coffee Ion Green
Số đại lý toàn quốc        Hơn 6000 đại lý (riêng nước bình 19L hơn 1000 đại lý tại TP.HCM)
Xuất khẩu        Hơn 8 quốc gia Mỹ Nhật Châu Âu Campuchia Thái Lan Trung Á Tây Phi Bắc Phi
Tầm nhìn        Không ngừng đổi mới hướng tới năm châu
Sứ mệnh        Chất lượng và sự tuyệt hảo là cam kết vô hạn Lợi ích doanh nghiệp và hỗ trợ cộng đồng là mục tiêu song hành
Người sáng lập        Nguyễn Đặng Hiến - Tổng Giám đốc
Giải thưởng        Doanh nghiệp Xanh TP.HCM 2023-2024 Thương hiệu Vàng TP.HCM Top 10 Nhãn hiệu nổi tiếng Việt Nam
LỊCH SỬ PHÁT TRIỂN
Giai đoạn        Chi tiết
1992-1996        Thành lập cơ sở nước giải khát Quang Minh thương hiệu Bidrico tập trung nông thôn Nước ngọt không gaz chai 200ml 100ml nước ngọt có gaz chai 1.25l sữa chua Yobi
1996-2000        Thay đổi mẫu mã bổ sung nước bình 19L nước đóng chai 500ml nước ngọt lon 330ml rau câu
2000-2004        Đẩy mạnh Hà Nội TP.HCM nghiên cứu nước trái cây bí đao nước yến ngân nhĩ
2004-2008        Hoàn thiện phân phối toàn quốc xuất khẩu Mỹ Nhật Châu Âu
2008-2012        Phát triển siêu thị GO! Big C Co.opmart Lotte xuất khẩu Trung Á Tây Phi Bắc Phi
2012-2016        Sàng lọc phân phối miền Trung miền Bắc bổ sung chanh muối 495ml tăng lực ly 225ml trà xanh 360ml cà phê lon 180ml
2016-2020        Thành lập công ty Cổ phần thực phẩm an toàn Long Quân 2017 bổ sung yến sào nha đam 500ml tăng lực ly thạch dừa 225ml
2020-2026        Đẩy mạnh OEM bổ sung trà đào tăng lực cà phê tăng lực thạch dừa vị đào tăng lực Hồng Đẳng Sâm Tu Mơ Rông tăng lực chai 1.75L nước dừa nước ion kiềm
PHẦN 2: PORTFOLIO SẢN PHẨM
Danh mục        Sản phẩm tiêu biểu        Mô tả ngắn        Ghi chú dung tích
Sản phẩm xuân Bidrico        Hộp yến ngân nhĩ Bidrico xuân        Quà Tết cao cấp
Sản phẩm xuân Bidrico        Hộp trà bí đao Anuta xuân        Quà Tết cao cấp
Sản phẩm xuân Bidrico        Nước Tăng Lực Hồng Đẳng Sâm Tu Mơ Rông Xuân        Quà Tết
Sản phẩm xuân Bidrico        Nước ngọt có gaz Bidrico xuân        Cam dâu chanh táo xá xị soda kem cola
Sản phẩm xuân Bidrico        Nước ngọt có gaz Tứ quý xuân Bidrico        Lon 330ml thùng 12 hoặc khay 24
Sản phẩm xuân Bidrico        Rau câu trái cây Bidrico xuân        Quà Tết
Sản phẩm mới        Trà đào Anuta        Mới ra mắt
Sản phẩm mới        Nước tăng lực Restore ly 225ml        Nha đam dâu Mixberry thạch dừa thạch dừa nho trái cây
Sản phẩm mới        Nước tăng lực cà phê        Mới
Sản phẩm mới        Nước tăng lực thạch dừa vị đào        Mới
Sản phẩm mới        Nước tăng lực Hồng Đẳng Sâm Tu Mơ Rông        Mới
Sản phẩm mới        Nước tăng lực chai 1.75L        Mới
Sản phẩm mới        Nước dừa        Mới
Sản phẩm mới        Nước uống ion kiềm        Mới
Sản phẩm giảm đường        Nước ngọt giảm đường        Ít đường hoặc không đường
Sản phẩm giảm đường        Trà xanh ít đường
Sản phẩm giảm đường        Nước ép trái cây giảm đường
Sản phẩm giảm đường        Rau câu trái cây Bidrico
Sản phẩm giảm đường        Nước chanh muối Restore
Sản phẩm giảm đường        Yến sào nha đam Bidrico
Sản phẩm có nguồn gốc từ thiên nhiên        Nước ép Anuta        Khóm xoài cam
Sản phẩm có nguồn gốc từ thiên nhiên        Trà bí đao Anuta
Sản phẩm có nguồn gốc từ thiên nhiên        Nước yến sào nha đam Bidrico
Sản phẩm có nguồn gốc từ thiên nhiên        Nước dừa Cocobi
Sản phẩm có nguồn gốc từ thiên nhiên        Nước yến ngân nhĩ Bidrico
Nước uống Ion Kiềm cao cấp Ion Green        Nước ion kiềm pH cao        Giàu khoáng chất tự nhiên
Nước uống Bidrico        Nước tinh khiết Bidrico bình 19L        Có vòi và không vòi
Nước uống Bidrico        Nước tinh khiết Bidrico chai 350ml
Nước uống Bidrico        Nước tinh khiết Bidrico chai 500ml
Sản phẩm bổ dưỡng        Sữa chua uống tiệt trùng Yobi        100ml
Sản phẩm bổ dưỡng        Nước yến ngân nhĩ Bidrico
Sản phẩm bổ dưỡng        Sâm cao ly
Sản phẩm bổ dưỡng        Yến sào nha đam 500ml
Sản phẩm không gaz        Nước ép trái cây        Nguồn gốc thiên nhiên
Sản phẩm không gaz        Trà bí đao A*nuta
Sản phẩm không gaz        Nước tăng lực Restore không gas
Sản phẩm không gaz        Rau câu trái cây
Sản phẩm không gaz        Sữa chua uống Yobi
Sản phẩm có gaz        Nước ngọt có gaz Bidrico        Lon 330ml chai 360ml 500ml 1.25L 1.75L hương cam dâu chanh táo kiwi xí muội cola xá xị soda kem
Sản phẩm có gaz        Nước tăng lực Bidrico lon 325ml
Sản phẩm có gaz        Nước tăng lực Bidrico chai 1.75L 1.25L
Sản phẩm bổ sung        Nước Tăng Lực Bidrico
Sản phẩm bổ sung        Nước Tăng Lực Cà Phê
Sản phẩm bổ sung        Nước Tăng Lực Hồng Đẳng Sâm Tu Mơ Rông
Sản phẩm bổ sung        Nước Tăng Lực Ly Restore</t>
  </si>
  <si>
    <t>Nước uống ion kiềm cao cấp ION GREEN</t>
  </si>
  <si>
    <t>hinh-dai-dien-nuoc-uong-ion-kiem-cao-cap-ion-green-lon-330ml-600x600.png</t>
  </si>
  <si>
    <t>Nước uống ion kiềm cao cấp Ion Green
Trung hoà axit – Tươi trẻ làn da
Nước uống ion kiềm cao cấp ION GREEN lon 330ml được tạo ra từ công nghệ điện giải, tách nước thành các ion H+ và OH-, có tính kiềm tự nhiên với độ pH khoảng từ 8.0 – 9.5. Sản phẩm được sản xuất trên dây chuyền tự động, khép kín, tích hợp công nghệ điện phân hiện đại từ Nhật Bản.
Nước Ion kiềm có nhiều tính chất tốt cho sức khoẻ và được chứng nhận Y học tại Nhật Bản và Hàn Quốc. Theo nghiên cứu của chuyên gia Hayashi Hidemitsu – Viện trưởng Viện Nước Nhật Bản:“Loại nước Ion kiềm không chỉ cải thiện hệ tiêu hoá mà còn hỗ trợ cải thiện tình trạng tiểu đường, gout, sỏi thận và nhiều bệnh khác do quá trình lão hoá và oxy hoá trong cơ thể gây ra”.
Các sản phẩm nước uống ion kiềm cao cấp ION GREEN: Bình 19l up, bình 19 đa năng, chai 500ml, chai 350ml, lon 330ml
Tính năng vượt trội của nước uống ion kiềm cao cấp ION GREEN lon 330ml:
Giàu tính kiềm tự nhiên như rau xanh, không sử dụng hoá chất: Giúp trung hoà axit dư trong cơ thể, cân bằng pH, tốt cho tiêu hoá…
Giàu Hydrogen, có khả năng chống oxy hoá: Giúp tăng sức đề kháng, loại bỏ Oxy tự do, chống lão hóa, ngăn ngừa bệnh tật…
Giàu vi khoáng tự nhiên có lợi như: Na+, Ca+, Mg+… thúc đẩy hấp thụ các chất dinh dưỡng.
Cấu trúc phân tử nước siêu nhỏ (chỉ khoảng 0.5nm): Giúp tăng khả năng thẩm thấu nhanh gấp 5 lần nước uống thông thường, thanh lọc cơ thể, tăng cường trao đổi chất.
Mua nước uống ion kiềm cao cấp ION GREEN lon 330ml ở đâu?
Nhà phân phối, đại lý, tạp hoá trên toàn quốc
Các kênh online:
         + Zalo shop: Bidrico
         + Facebook: Nước giải khát Bidrico
         + Sàn TMĐT: Shoppe, Lazada, Tiki
Liên hệ làm NPP/ĐL: (+84) 966266416 – (+84) (28) 37652567</t>
  </si>
  <si>
    <t>Sản phẩm giảm đường</t>
  </si>
  <si>
    <t>hinh-dai-dien-rau-cau-huong-vi-trai-cay-bidrico-tui-960g.png</t>
  </si>
  <si>
    <t>Rau câu hương vị trái cây Bidrico
Dai dai giòn giòn cả nhà cùng ngon
Rau câu hương vị trái cây Bidrico là sự kết hợp từ bột rau câu, thạch dừa dai dai, giòn giòn và vị chua chua ngọt ngọt từ các loại trái cây: Bắp, chuối, ổi, khóm, xoài, mãng cầu, dừa, cam, dưa… Sự hoà quyện này mang lại một trải nghiệm thú vị và ngon miệng, phù hợp với từng khẩu vị của mọi thành viên trong gia đình.
Sản phẩm được làm từ thành phần tự nhiên, an toàn và không chứa chất DEHP (Hoá chất hữu cơ gây hại cho sức khoẻ). Đồng thời sản xuất trên dây chuyền hiện đại để đảm bảo chất lượng và giữ được hương vị thơm ngon tự nhiên của trái cây.
Thạch rau câu là một món ăn nhẹ và mát, không có chất béo, ít calo nên sẽ tạo cho bạn cảm giác no lâu hơn và hạn chế tiêu thụ các thức ăn khác nên rất được ưa chuộng.
Mua thạch rau câu hương vị trái cây Bidrico ở đâu?
Nhà phân phối, đại lý, tạp hoá, siêu thị trên toàn quốc
Các kênh online:
            + Zalo shop: Bidrico
            + Facebook: Nước giải khát Bidrico
            + Sàn TMĐT: Shoppe, Lazada, Tiki
Liên hệ làm NPP/ĐL: (+84) 966266416 – (+84) (28) 37652567</t>
  </si>
  <si>
    <t>HATHYO</t>
  </si>
  <si>
    <t>Đã phát hành</t>
  </si>
  <si>
    <t>channels4_profile_w256.webp</t>
  </si>
  <si>
    <t>A002</t>
  </si>
  <si>
    <t>Hồ Xuân Dũng</t>
  </si>
  <si>
    <t>DungHX2006-removebg-preview_w256.webp</t>
  </si>
  <si>
    <t>PCT Thường trực CLB - Giám đốc</t>
  </si>
  <si>
    <t>SV SOLUTION</t>
  </si>
  <si>
    <t>3502341954</t>
  </si>
  <si>
    <t>Final-logo-outline-SVs.png</t>
  </si>
  <si>
    <t>Số 35 đường 30/4, Phường Tam Thắng, Thành phố Hồ Chí Minh, Việt Nam</t>
  </si>
  <si>
    <t>https://maps.app.goo.gl/obXws3JtETK8t1c27</t>
  </si>
  <si>
    <t>0908839533</t>
  </si>
  <si>
    <t>dunghx@svsolution.com.vn</t>
  </si>
  <si>
    <t>84908839533</t>
  </si>
  <si>
    <t>https://svsolution.com.vn</t>
  </si>
  <si>
    <t>Thiết bị dầu khí</t>
  </si>
  <si>
    <t>Vật liệu kết cấu</t>
  </si>
  <si>
    <t>Điện &amp; Tự động hóa</t>
  </si>
  <si>
    <t>Dịch vụ kỹ thuật</t>
  </si>
  <si>
    <t>GIẢI PHÁP TỐI ƯU – CAM KẾT CHẤT LƯỢNG</t>
  </si>
  <si>
    <t>Ông Hồ Xuân Dũng sinh năm 1967 tại vùng quê Triệu Phong, tỉnh Quảng Trị, hiện đang sinh sống và làm việc tại phường Tam Thắng, TP. Vũng Tàu (cũ).
Tốt nghiệp Thạc sĩ Kinh tế, chuyên ngành Quản trị Dầu khí, ông Dũng đã có gần 30 năm kinh nghiệm trong lĩnh vực dịch vụ dầu khí – một ngành công nghiệp mũi nhọn, đòi hỏi chuyên môn cao và khả năng thích ứng mạnh mẽ với biến động toàn cầu.
Hiện nay, ông là Chủ tịch Hội đồng thành viên kiêm Giám đốc Công ty SV Solution, doanh nghiệp hoạt động trong lĩnh vực công nghiệp dầu khí và năng lượng, chuyên cung cấp các giải pháp công nghệ và dịch vụ kỹ thuật cho nhiều đối tác trong và ngoài nước.
Không chỉ là một nhà quản lý giỏi, ông Hồ Xuân Dũng còn là người có đóng góp tích cực trong các hoạt động xã hội, cộng đồng doanh nhân. Ông từng đảm nhiệm vai trò Chủ tịch Hội đồng hương Quảng Trị tại TP. Vũng Tàu và là Phó Chủ tịch Hiệp hội Doanh nghiệp Nhỏ &amp; Vừa tỉnh Bà Rịa – Vũng Tàu (trước đây).
Trong quá trình công tác, ông đã cùng các cộng sự xây dựng môi trường kết nối vững mạnh, hỗ trợ phát triển cộng đồng với hơn 500 doanh nghiệp đang hoạt động tại địa phương – tạo nên một hệ sinh thái gắn kết, tương trợ lẫn nhau để phát triển bền vững.</t>
  </si>
  <si>
    <t>SV SOLUTION – ĐỐI TÁC TIN CẬY TRONG CUNG ỨNG THIẾT BỊ VÀ DỊCH VỤ KỸ THUẬT
1. Giới thiệu chung
Được thành lập từ năm 2017, SV Solution tự hào là đơn vị hàng đầu chuyên cung cấp các dịch vụ kỹ thuật và thiết bị chuyên dụng cho các ngành trọng điểm: Dầu khí, Năng lượng, Xây dựng và Giao thông vận tải.
Với hơn 5 năm kinh nghiệm và bề dày thành tích thực hiện trên 350 dự án, chúng tôi cam kết mang đến những giải pháp tối ưu, sản phẩm chất lượng vượt trội cùng dịch vụ hậu mãi chu đáo nhất cho khách hàng.
2. Danh mục sản phẩm &amp; Dịch vụ mũi nhọn
Chúng tôi tập trung cung ứng các thiết bị kỹ thuật đòi hỏi tiêu chuẩn khắt khe nhất:
OCTG &amp; Phụ kiện: Ống chống, ống khai thác, cần khoan và các loại đầu nối chuyên dụng.
Vật liệu thép: Thép xây dựng, thép kết cấu và hệ thống đường ống dẫn.
Thiết bị kỹ thuật: Dụng cụ khoan, thiết bị điện, hệ thống điều khiển và tự động hóa.
Giải pháp hỗ trợ: Tư vấn kỹ thuật toàn diện và các thiết bị hỗ trợ đường ống.
3. Tầm nhìn &amp; Sứ mệnh
Mục tiêu: Trở thành nhà cung cấp dẫn đầu trong lĩnh vực cung ứng sản phẩm dạng ống và thiết bị hỗ trợ cho hoạt động khoan, khai thác và vận chuyển năng lượng.
Lợi thế cạnh tranh: Sự kết hợp hoàn hảo giữa nền tảng khoa học công nghệ tiên tiến và đội ngũ nhân sự dày dạn kinh nghiệm thực chiến tại các dự án dầu khí lớn.
4. Giá trị cốt lõi &amp; Cam kết QHSE
Tại SV Solution, chúng tôi hoạt động dựa trên các giá trị bền vững:
Tâm thế người gieo hạt: Đội ngũ nhân viên luôn làm việc bằng sự thấu hiểu sâu sắc và khát khao mang lại giá trị tốt nhất cho đối tác.
Tiêu chuẩn QHSE tuyệt đối: * Tích hợp tiêu chuẩn Chất lượng – Sức khỏe – An toàn – Môi trường vào mọi quy trình quản lý.
An toàn của nhân viên và bảo vệ môi trường là ưu tiên hàng đầu.
Gắn kết trách nhiệm QHSE xuyên suốt toàn bộ chuỗi cung ứng.
5. Tại sao chọn SV Solution?
Kinh nghiệm dày dạn: Thực hiện thành công hơn 350 dự án phức tạp.
Sáng tạo &amp; Đổi mới: Không ngừng cải tiến ý tưởng để thúc đẩy sự phát triển của doanh nghiệp bạn.
Chuyên nghiệp: Cơ sở vật chất hiện đại, hỗ trợ kỹ thuật tận tâm 24/7.
LIÊN HỆ VỚI CHÚNG TÔI
Trụ sở chính: Số 35, Đường 30/4, Phường 9, TP. Vũng Tàu, Việt Nam.
Hotline: (+84) 909 590 015 | Tel: (+84) 2543 621 789
Email: info@svsolution.com.vn
Website: www.svsolution.com.vn
SV Solution – Đồng hành cùng sự phát triển bền vững của doanh nghiệp!</t>
  </si>
  <si>
    <t>LAZINET</t>
  </si>
  <si>
    <t>Final-logo-outline-SVs_w256.webp</t>
  </si>
  <si>
    <t>A003</t>
  </si>
  <si>
    <t>A018</t>
  </si>
  <si>
    <t>Hoàng Toàn</t>
  </si>
  <si>
    <t>Toan_W128 (1).webp</t>
  </si>
  <si>
    <t>Cố vấn CLB - Giám đốc Công ty</t>
  </si>
  <si>
    <t>CÔNG TY TNHH MTV DỊCH VỤ VĂN HOÁ KHANG VIỆT</t>
  </si>
  <si>
    <t>Nhà sách Khang Việt</t>
  </si>
  <si>
    <t>0304794548</t>
  </si>
  <si>
    <t>khangvietbook.png</t>
  </si>
  <si>
    <t>71 Đinh Tiên Hoàng, Phường Tân Định, Thành phố Hồ Chí Minh</t>
  </si>
  <si>
    <t>0913929742</t>
  </si>
  <si>
    <t>nhasachkhangviet@gmail.com</t>
  </si>
  <si>
    <t>84913929742</t>
  </si>
  <si>
    <t>https://khangvietbook.com.vn</t>
  </si>
  <si>
    <t>Sách luyện thi THPT Quốc gia</t>
  </si>
  <si>
    <t>Sách tham khảo các cấp (I, II, III)</t>
  </si>
  <si>
    <t>Phát hành sách trực tuyến toàn quốc</t>
  </si>
  <si>
    <t>Sách Văn học &amp; Kỹ năng sống</t>
  </si>
  <si>
    <t>Văn phòng phẩm &amp; Dụng cụ học tập</t>
  </si>
  <si>
    <t>Sản xuất Lịch Bloc &amp; Lịch để bàn</t>
  </si>
  <si>
    <t>Sách Ngoại văn &amp; Mầm non</t>
  </si>
  <si>
    <t>Tư vấn &amp; Cung ứng sách dự án</t>
  </si>
  <si>
    <t>ĐIỂM TỰA TRI THỨC, VỮNG BƯỚC TƯƠNG LAI</t>
  </si>
  <si>
    <t>Dưới đây là nội dung đã được viết lại một cách trang trọng, đầy đủ và chuyên sâu hơn để bạn dán vào Google Sheet:
CÔNG TY TNHH MTV DỊCH VỤ VĂN HÓA KHANG VIỆT
"Sứ mệnh nâng cao dân trí và đồng hành cùng sự nghiệp giáo dục Việt Nam"
TỔNG QUAN VỀ THƯƠNG HIỆU
Được thành lập với tâm huyết thúc đẩy văn hóa đọc, Công ty TNHH MTV Dịch vụ Văn hóa Khang Việt đã khẳng định vị thế là một trong những đơn vị phát hành sách và thương mại điện tử uy tín hàng đầu tại Việt Nam. Với nền tảng website khangvietbook.com.vn, chúng tôi không chỉ là một hiệu sách trực tuyến mà còn là cầu nối tri thức, mang đến hàng ngàn đầu sách giá trị cho độc giả trên khắp mọi miền đất nước. Từ năm 2013 đến nay, Khang Việt đã không ngừng mở rộng mạng lưới, trở thành đối tác chiến lược tin cậy của các Nhà xuất bản và các Công ty Truyền thông Văn hóa lớn nhất cả nước.
DANH MỤC SẢN PHẨM ĐA DẠNG
Thế mạnh cốt lõi của Khang Việt nằm ở mảng sách giáo dục với hệ thống sách tham khảo, sách giải và luyện thi THPT Quốc gia vô cùng phong phú, trải dài từ bậc Mầm non, Tiểu học đến Trung học phổ thông. Bên cạnh đó, chúng tôi còn chú trọng phát triển các dòng sách Văn học, Kỹ năng sống, Kinh tế và Ngoại văn, đáp ứng nhu cầu bồi dưỡng tri thức toàn diện cho mọi lứa tuổi. Đặc biệt, mỗi dịp cuối năm, Khang Việt là địa chỉ tin cậy cung cấp các ấn phẩm Lịch Tết, Lịch Bloc và Văn phòng phẩm chất lượng cao.
DỊCH VỤ TẬN TÂM – TRẢI NGHIỆM HIỆN ĐẠI
Với đội ngũ nhân sự trẻ trung, chuyên nghiệp và yêu sách, Khang Việt luôn đặt trải nghiệm của khách hàng lên hàng đầu. Chúng tôi tiên phong trong việc chuẩn hóa quy trình dịch vụ: từ khâu đặt hàng trực tuyến dễ dàng, thanh toán linh hoạt đến khâu đóng gói bao bọc cẩn thận bằng túi giấy Kraft thân thiện với môi trường. Đội ngũ giao hàng tận tâm đảm bảo sách luôn được chuyển đến tay độc giả nhanh chóng và nguyên vẹn nhất, dù ở bất cứ đâu.
TẦM NHÌN PHÁT TRIỂN
Khang Việt đang hướng tới mục tiêu xây dựng tổ hợp nhà sách hiện đại với diện tích hơn 1.000m² tại TP.HCM, phấn đấu trở thành hệ thống nhà sách hàng đầu Việt Nam. Chúng tôi cam kết tiếp tục nỗ lực bồi dưỡng nhân tài và nguồn nhân lực cho sự nghiệp công nghiệp hóa, hiện đại hóa đất nước, đồng thời giữ vững vai trò định hướng tư tưởng văn hóa trong kỷ nguyên hội nhập kinh tế tri thức thế giới.</t>
  </si>
  <si>
    <t>khangvietbook_w256.webp</t>
  </si>
  <si>
    <t>A004</t>
  </si>
  <si>
    <t>ThS LS. Lê Viết Kỳ</t>
  </si>
  <si>
    <t>Ky2_w256.webp</t>
  </si>
  <si>
    <t xml:space="preserve">Tổng Thư ký CLB - Giám đốc </t>
  </si>
  <si>
    <t>CÔNG TY LUẬT TRÁCH NHIỆM HỮU HẠN MỘT THÀNH VIÊN MINH KỲ</t>
  </si>
  <si>
    <t>MINH KY LAWFIRM</t>
  </si>
  <si>
    <t>0319365453 / 0318232771</t>
  </si>
  <si>
    <t>9e0641cd-1b04-4301-a2e8-0720484a70c0.jpg</t>
  </si>
  <si>
    <t>38 Cộng Hoà, Phường Tân Sơn Nhất, Thành phố Hồ Chí Minh</t>
  </si>
  <si>
    <t>https://maps.app.goo.gl/t1htmK1RmBLWvVt78</t>
  </si>
  <si>
    <t>0964037746</t>
  </si>
  <si>
    <t xml:space="preserve">levietkylaw@gmail.com </t>
  </si>
  <si>
    <t>84964037746</t>
  </si>
  <si>
    <t>https://fb.com/share/1DPnpa2ATP</t>
  </si>
  <si>
    <t>lut.s.l.vit.k</t>
  </si>
  <si>
    <t>@KyLeViet-mw6se</t>
  </si>
  <si>
    <t>DV Pháp lý cho Cá nhân &amp; Doanh nghiệp</t>
  </si>
  <si>
    <t>Tố tụng Hình sự, Dân sự, HC, KDTM</t>
  </si>
  <si>
    <t>Pháp lý Doanh nghiệp &amp; FDI</t>
  </si>
  <si>
    <t>M&amp;A Đầu tư, Sở hữu Trí tuệ</t>
  </si>
  <si>
    <t>PL Lao động &amp; XKLĐ</t>
  </si>
  <si>
    <t>PL về Thuế &amp; Trọn vòng đời DN</t>
  </si>
  <si>
    <t>Đại diện ngoài Tố tụng</t>
  </si>
  <si>
    <t>DV PL Giải thể &amp; Phá Sản DN</t>
  </si>
  <si>
    <t>SHARING - COMMITMENT - RESPONSIBILITY</t>
  </si>
  <si>
    <t>ThS. Luật sư Lê Viết Kỳ sinh ra và lớn lên tại vùng quê nghèo đầy nắng gió Văn Vận, Hải Quy, Hải Lăng, Quảng Trị (nay thuộc xã Vĩnh Định, Quảng Trị) – nơi đất cằn sỏi đá nhưng hun đúc ý chí kiên cường.
Năm 1999, với hành trang chỉ là vài bộ quần áo và ít trang sách, anh khăn gói vào Sài Gòn lập nghiệp. Khởi đầu bằng ngành Ngôn ngữ Anh, sau đó thử sức với kinh doanh trong lĩnh vực xây dựng – trang trí nội thất, nhưng vẫn chưa thực sự tìm thấy đam mê.
Bước ngoặt đến khi anh quyết định theo đuổi ngành Luật – con đường mất hơn 10 năm miệt mài học tập, vượt qua nhiều kỳ thi khắt khe để hoàn thành chương trình Thạc sĩ Luật và chính thức trở thành Luật sư.
Suốt gần 8 năm hành nghề, Luật sư Lê Viết Kỳ không chỉ gắn bó với công tác pháp lý mà còn tích cực tham gia các hoạt động xã hội, lan tỏa kiến thức pháp luật đến nhiều tầng lớp từ TP.HCM, miền Tây Nam Bộ cho đến quê nhà Quảng Trị.
Triết lý nghề nghiệp: “Luôn đặt đạo đức lên hàng đầu, giữ gìn sự chỉn chu, uy tín, lấy lợi ích khách hàng làm trọng và tin vào nhân quả trong cả cuộc sống lẫn công việc.”
Hiện nay, anh đảm nhiệm nhiều vai trò quan trọng:
Giám đốc CÔNG TY LUẬT TRÁCH NHIỆM HỮU HẠN MỘT THÀNH VIÊN MINH KỲ – Đoàn Luật sư TP.HCM
Giảng viên Khoa Luật – Trường Đại học Ngoại ngữ – Tin học TP.HCM
Quản tài viên trong các vụ án phá sản
Chuyên gia đào tạo pháp lý cho cộng đồng doanh nghiệp VBCI Việt Nam với các chuyên đề:
Pháp luật về hợp đồng
Quản trị nội bộ doanh nghiệp
Xử lý tranh chấp nội bộ
Pháp luật về mua bán – sáp nhập doanh nghiệp</t>
  </si>
  <si>
    <t>Công ty Luật Minh Kỳ (MK Lawfirm) là công ty luật chuyên cung cấp dịch vụ pháp lý toàn diện, hành nghề chính trực, chuẩn mực, hướng tới hội nhập quốc tế và phát triển bền vững.
Công ty được xây dựng với định hướng trở thành định chế nghề luật uy tín, đồng hành cùng doanh nghiệp FDI/PDI đầu tư dài hạn tại Việt Nam, là điểm đến pháp lý cho công dân Việt Nam và người nước ngoài, đồng thời là nơi luật sư và sinh viên luật mơ ước hành nghề/thực tập.
Giá trị cốt lõi bất biến:
CHIA SẺ: Chia sẻ tri thức pháp lý, cơ hội, lợi ích và trách nhiệm
CAM KẾT: Đúng luật, đúng đạo đức; không hứa bừa, không nhận việc trái pháp luật; rõ việc – rõ tiền – rõ trách nhiệm
TRÁCH NHIỆM: Với khách hàng, pháp luật Việt Nam, thương hiệu Minh Kỳ, cộng sự và xã hội
Tầm nhìn: Minh Kỳ đứng về phía ĐÚNG – CHÍNH TRỰC – BỀN VỮNG, không đứng về phía mạnh.
Lĩnh vực hoạt động chính (public-facing):
Tư vấn pháp lý tổng thể
Tranh tụng dân sự, hình sự, kinh doanh thương mại, hành chính, hôn nhân gia đình
Pháp lý thuê ngoài cho doanh nghiệp
Dịch vụ trọn vòng đời doanh nghiệp
Lao động &amp; xuất khẩu lao động
M&amp;A – Đầu tư – FDI
Sở hữu trí tuệ
Công ty xây dựng hệ sinh thái nghề luật đa thế hệ: truyền dạy từ thế hệ đi trước, kế thừa từ thế hệ sau; văn hóa tri ân, bảo mật, tôn trọng.
Chiến lược phát triển nguồn khách hàng &amp; thương hiệu: Tập trung vào cộng đồng khởi nghiệp, hệ sinh thái doanh nghiệp, hiệp hội, trung tâm xúc tiến thương mại, đối tác coaching/doanh nghiệp đánh giá, digital marketing chuẩn mực (website, content giá trị, mạng xã hội), xây dựng fan thương hiệu qua uy tín và đóng góp chuyên môn.
Mọi hoạt động tuân thủ Hiến chương Minh Kỳ: Không nhận việc trái pháp luật, không thu chi ngoài hợp đồng, bảo mật tuyệt đối, không đánh đổi uy tín.
Thông tin đăng ký kinh doanh (công khai):
Tên: CÔNG TY TNHH LUẬT MINH KỲ (MINH KY LAW COMPANY LIMITED)
Địa chỉ: 38 Cộng Hòa, Phường Tân Sơn Nhất, TP. Hồ Chí Minh
Người đại diện: Thạc sỹ - Luật sư LÊ VIẾT KỲ
Công ty cam kết vận hành chuyên nghiệp, minh bạch và bền vững.</t>
  </si>
  <si>
    <t>Dịch vụ pháp lý</t>
  </si>
  <si>
    <t>valentine-cover.png</t>
  </si>
  <si>
    <t>9e0641cd-1b04-4301-a2e8-0720484a70c0_w256.webp</t>
  </si>
  <si>
    <t>Ky2.png</t>
  </si>
  <si>
    <t>A005</t>
  </si>
  <si>
    <t>Lê Minh Phụng</t>
  </si>
  <si>
    <t>LeMinhPhung_w256.webp</t>
  </si>
  <si>
    <t>Phó chủ tịch CLB - Phó Tổng Giám đốc</t>
  </si>
  <si>
    <t>CÔNG TY CỔ PHẦN KHO LẠNH KỶ NGUYÊN MỚI (NECS)</t>
  </si>
  <si>
    <t>Kho lạnh NECS</t>
  </si>
  <si>
    <t>1101956749</t>
  </si>
  <si>
    <t>Screenshot 2026-03-15 231255.png</t>
  </si>
  <si>
    <t>Lầu 8, 262 Nam Kỳ Khởi Nghĩa, phường Xuân Hòa, TP.HCM</t>
  </si>
  <si>
    <t>https://maps.app.goo.gl/6sEboZvdJv8JUDP48</t>
  </si>
  <si>
    <t>B28-2 Đường Dọc 2, KCN Phú An Thạnh, Bến Lức, Long An</t>
  </si>
  <si>
    <t>https://maps.app.goo.gl/aV7LQZKiCFKQyb6o8</t>
  </si>
  <si>
    <t>0901494666</t>
  </si>
  <si>
    <t>phunglm@necs.vn</t>
  </si>
  <si>
    <t>84901494666</t>
  </si>
  <si>
    <t>https://necs.vn</t>
  </si>
  <si>
    <t>Cho thuê kho lạnh, kho mát, kho khô</t>
  </si>
  <si>
    <t>Kho ngoại quan lạnh lớn nhất VN</t>
  </si>
  <si>
    <t>Chia chọn, phân loại/ size hàng hóa</t>
  </si>
  <si>
    <t>Cảng quốc tế</t>
  </si>
  <si>
    <t>Đại lý hải quan</t>
  </si>
  <si>
    <t>Hỗ trợ tài chính</t>
  </si>
  <si>
    <t>UY TÍN TOÀN CẦU - DẪN ĐẦU CÔNG NGHỆ</t>
  </si>
  <si>
    <t>Ông Lê Minh Phụng, quê làng Cu Hoan, xã Hải Thiện (nay là xã Diên Sanh), tỉnh Quảng Trị, là Thạc sĩ Tài chính Ngân hàng, tốt nghiệp Đại học Kinh tế TP.HCM. Sau khi tốt nghiệp trường chuyên tỉnh Quảng Trị năm 1995, ông vào TP.HCM học tập và khởi nghiệp.
Năm 2004, ông đại diện thanh niên Việt Nam tham dự chương trình Tàu Thanh niên Đông Nam Á – Nhật Bản và được Trung ương Đoàn trao tặng Kỷ niệm chương “Vì thế hệ trẻ”.
Ông có hơn 20 năm kinh nghiệm trong các lĩnh vực kế toán, tài chính, truyền thông và quản lý doanh nghiệp. Ông từng giữ các chức vụ quan trọng như Kế toán trưởng Ban quản lý dự án xây cầu nông thôn của Trung ương Đoàn; Phó Trưởng phòng Tài chính – Kế hoạch UBND Quận 2; Trưởng phòng Kinh doanh Tạp chí Thời Trang Trẻ. Từ năm 2016, ông phụ trách PR – Truyền thông tại các công ty lớn như Swire Cold Storage, Emergent Cold, Lineage Logistics – tập đoàn kho lạnh lớn nhất thế giới. Giám đốc Kinh doanh toàn quốc của AJ Total Việt Nam – Tập đoàn kho lạnh Hàn Quốc có vốn đầu tư lớn tại Việt Nam, cung cấp các dịch vụ kho lạnh, vận tải lạnh, phân phối, cấp đông cho nhiều tập đoàn đa quốc gia và doanh nghiệp nội địa.
Hiện nay, ông là Phó Tổng Giám đốc Công ty Cổ phần Kho Lạnh Kỷ Nguyên Mới (NECS) – Nhà cung cấp dịch vụ logistics tích hợp hàng đầu tại Việt Nam, tiên phong xây dựng hệ sinh thái khép kín từ kho lạnh hiện đại – dịch vụ đại lý hải quan – cảng biển quốc tế – trung tâm logistics – đến đội xe vận tải chuyên dụng, kho ngoại quan, cảng biển, cho vay và thế chấp hàng hóa với lãi suất ưu đãi. Với hệ thống kho lạnh tự động hóa hoàn toàn, kết hợp cùng dịch vụ đa dạng và linh hoạt, NECS mang đến giải pháp toàn diện và tối ưu cho chuỗi cung ứng thủy sản, nông sản và hàng đông lạnh. Kho NECS là kho lạnh lớn nhất Đông Nam Á của người Việt Nam tọa lạc ngay KCN Phú An Thạnh, Bến Lức, Tây Ninh, gần cao tốc SG - Trung Lương. 
Ngoài công việc chuyên môn, ông Lê Minh Phụng tích cực hoạt động thiện nguyện, phối hợp với Bộ đội Biên phòng Quảng Trị triển khai các chương trình xây nhà tình nghĩa, khoan giếng, sửa trường học tại Quảng Trị; ông góp phần xây hơn 1.200 cây cầu bê tông tại 13 tỉnh Đồng bằng sông Cửu Long và hỗ trợ sửa trường học nhiều địa phương miền núi như Quảng Nam, Bình Phước, Yên Bái..
Ông là chuyên gia hàng đầu về chuỗi cung ứng lạnh, giảng viên thỉnh giảng tại nhiều trường đại học trong cả nước và thường xuyên thuyết trình tại các hội thảo quốc tế.
Ông là thành viên Hiệp hội Thủy sản, Hiệp hội Rau quả Việt Nam; đồng sáng lập CLB Doanh nhân Quảng Trị tại miền Nam, hiện là người phát ngôn và Trưởng ban Truyền thông của CLB.</t>
  </si>
  <si>
    <t>Câu chuyện của NECS
Đặt nền móng phát triển vào năm 2020 và chính thức hoạt động vào năm 2023, Công ty Cổ Phần Kho Lạnh Kỷ Nguyên Mới (NECS) là tâm huyết của các nhà đầu tư Việt Nam với tham vọng có thể đưa thị trường kho lạnh lên một tầm cao mới, sánh vai cùng với bạn bè năm châu quốc tế. Nhằm đem đến cho khách hàng các dịch vụ tốt nhất, NECS đã dành ra nhiều năm để tìm hiểu nhu cầu thị trường và học hỏi, nghiên cứu các mô hình cũng như công nghệ hiện đại từ nước ngoài để có thể ứng dụng vào chuỗi dịch vụ kho lạnh trong nước, với mong muốn tối ưu hóa dịch vụ và giải quyết được tất cả các nỗi lo cho khách hàng.
07/2020
Kho lạnh kỷ nguyên mới NECS chính thức được thành lập.
04/2021
Khởi công giai đoạn 1
11/2022
Hoàn thành giai đoạn 1 với sức chứa hơn 30,000 pallets
10/2023
Khởi công giai đoạn 2
11/2025
Hoàn thành giai đoạn 2 với tổng sức chứa hơn 80,000 pallets &amp; 11,000 m2 sàn kho
Bắt đầu từ 2026
Chiến lược phát triển trong tương lai của NECS tập trung vào việc mở rộng thành một hệ sinh thái logistics toàn diện và bền vững.
Tầm nhìn
Trở Thành Nhà Cung Cấp Giải Pháp Logistics Số Tổng Thể Và Toàn Diện Hàng Đầu Tại Việt Nam
NECS hướng tới vị thế doanh nghiệp tiên phong trong việc tích hợp hạ tầng logistics vật lý với nền tảng công nghệ số, cung cấp các giải pháp thông minh, linh hoạt và có khả năng mở rộng cho chuỗi cung ứng Việt Nam.
Lấy công nghệ, dữ liệu và đổi mới làm trọng tâm, NECS không ngừng nâng cao năng lực vận hành và chuẩn hóa dịch vụ, từng bước khẳng định vai trò đối tác chiến lược của doanh nghiệp trong nước và quốc tế, góp phần đưa logistics Việt Nam vươn xa trên bản đồ thế giới.
SỨ MỆNH
Nâng Tầm Chuỗi Cung Ứng Việt
NECS cam kết đồng hành cùng doanh nghiệp trong quá trình tối ưu, số hóa và nâng cao hiệu quả chuỗi cung ứng, thông qua việc cung cấp các giải pháp logistics tích hợp - từ lưu trữ, vận hành, phân phối đến quản trị dữ liệu và kết nối hệ sinh thái. Chúng tôi không chỉ cung cấp dịch vụ, mà còn giải quyết những bài toán dài hạn cho khách hàng, qua đó nâng cao năng lực cạnh tranh của hàng hóa Việt Nam trên thị trường khu vực và toàn cầu.
Giá Trị Cốt Lõi
Kiên định
NECS kiên định với định hướng phát triển dài hạn, lấy chất lượng dịch vụ, hiệu quả vận hành và giá trị bền vững làm nền tảng. Chúng tôi nhất quán trong chiến lược, theo đuổi mục tiêu đến cùng và cam kết mạnh mẽ với khách hàng, đối tác và người lao động.
Chính trực
Chính trực là nguyên tắc cốt lõi trong mọi quyết định và hành động của NECS. Chúng tôi đề cao chuẩn mực, minh bạch, trách nhiệm và đạo đức kinh doanh, xây dựng niềm tin lâu dài với khách hàng, đối tác và cộng đồng.
Sáng tạo
NECS coi sáng tạo là động lực phát triển trong kỷ nguyên logistics số. Chúng tôi chủ động ứng dụng công nghệ, khuyến khích tư duy đổi mới và liên tục cải tiến, nhằm tạo ra những giải pháp khác biệt, linh hoạt và sát với thực tiễn vận hành của chuỗi cung ứng Việt Nam.
HỆ THỐNG CHUẨN QUỐC TẾ
ISO 22000:2018 – Tiêu chuẩn quốc tế về hệ thống an toàn vệ sinh thực phẩm, giúp ngăn chặn những rủi ro liên quan đến an toàn thực phẩm từ khâu sản xuất ban đầu đến điểm tiêu thụ cuối cùng, đảm bảo hàng hóa của khách hàng  khi đến tay người tiêu dùng sẽ luôn trong điều kiện tốt nhất.
ISO22000
ISO 9001:2015 Tiêu chuẩn về hệ thống quản lý chất lượng; giúp nâng cao năng lực cũng như kiểm soát được các chi phí, rủi ro phát sinh và tạo cơ hội phát triển cho chính bản thân doanh nghiệp. NECS luôn đảm bảo đem đến cho khách hàng trải nghiệm và quy trình lưu kho chuyên nghiệp nhất.
ISO9001
ISO 45001:2018: Hệ thống quản lý An toàn và Sức khỏe nghề nghiệp nhằm giúp các tổ chức có thể cung cấp nơi làm việc an toàn, ngăn ngừa thương tích và bệnh tật liên quan đến công việc, và thường xuyên cải tiến kết quả hoạt động liên quan đến An toàn và Sức khỏe của người lao động.
Chứng chỉ EDGE: là hệ thống đánh giá chứng minh công trình của NECS sử dụng tài nguyên hiệu quả, đảm bảo lượng phát thải an toàn cũng như sử dụng năng lượng xanh, giúp tiết kiệm nước và năng lượng dùng để sản xuất vật liệu xây dựng công trình, qua đó giúp giảm phát thải khí nhà kính.
Cơ sở vật chất hiện đại, đảm bảo đáp ứng được các yêu cầu nghiêm ngặt từ phía Châu Âu, đảm bảo hỗ trợ quy trình lưu trữ và bảo quản diễn ra chuyên nghiệp, an toàn và hiệu quả.
Nhiệt độ lưu kho phải đảm bảo chính xác ở mức quy định, âm sâu và tối thiểu tình trạng thất thoát nhiệt, bảo đảm hàng hóa khi xuất khẩu đến EU luôn giữ được tình trạng và chất lượng tốt nhất.
Các quy trình tại kho luôn cam kết đáp ứng và tuân theo các tiêu chuẩn ISO 22000:2018 và HACCP. Nhân sự được đào tạo bài bản, có hiểu biết về chuyên môn và các kiến thức liên quan đến an toàn thực phẩm.
Hệ thống được chứng nhận và tái kiểm định thường xuyên bởi Cục Quản lý Chất lượng nông lâm sản và thủy sản, do đó NECS luôn đảm bảo duy trì và tuân thủ theo đúng các quy định và tiêu chuẩn mà EU đề ra.</t>
  </si>
  <si>
    <t>Screenshot 2026-03-15 231255_w256.webp</t>
  </si>
  <si>
    <t>LeMinhPhung.jpg</t>
  </si>
  <si>
    <t>A006</t>
  </si>
  <si>
    <t>Lê Phước Trung</t>
  </si>
  <si>
    <t>Trung_W128.webp</t>
  </si>
  <si>
    <t>Phó chủ tịch CLB - CT &amp; TGĐ</t>
  </si>
  <si>
    <t>CÔNG TY TNHH ĐẠI AN THÁI</t>
  </si>
  <si>
    <t>DAVET</t>
  </si>
  <si>
    <t>0302964723</t>
  </si>
  <si>
    <t>datvetpharma_H128.webp</t>
  </si>
  <si>
    <t>Số 20, Đường số 1, KDC Bình Chiểu 2, Phường Tam Bình, TP.HCM</t>
  </si>
  <si>
    <t>https://maps.app.goo.gl/C4mS4dU6f26enBFw6</t>
  </si>
  <si>
    <t>Nhà máy: Lô A1.2 Đường số 2, KCN Đức Hòa 3, Xã Đức Lập, Tây Ninh</t>
  </si>
  <si>
    <t>https://maps.app.goo.gl/M7cGi62ZkYADem5h8</t>
  </si>
  <si>
    <t>0943208000</t>
  </si>
  <si>
    <t>datvetpharma@gmail.com</t>
  </si>
  <si>
    <t>84943208000</t>
  </si>
  <si>
    <t>https://www.facebook.com/messages/t/100992789490568</t>
  </si>
  <si>
    <t>https://datvetpharma.com</t>
  </si>
  <si>
    <t>https://fb.com/DaiAnThai</t>
  </si>
  <si>
    <t>SX &amp; KD, gia công thuốc, hóa chất NTTS</t>
  </si>
  <si>
    <t>SX &amp; gia công phân bón, thuốc vật liệu</t>
  </si>
  <si>
    <t>Nhập khẩu, kinh doanh hóa chất cơ bản</t>
  </si>
  <si>
    <t>Thuốc thủy sản cho tôm</t>
  </si>
  <si>
    <t>Thuốc thủy sản cho cá</t>
  </si>
  <si>
    <t>Hóa chất trong chế biến</t>
  </si>
  <si>
    <t>CHUNG MỘT NIỀM TIN</t>
  </si>
  <si>
    <t>Ông Lê Phước Trung, sinh năm 1976 tại xã Hải Thượng, huyện Hải Lăng (nay là xã Hải Lăng, tỉnh Quảng Trị), là cựu học sinh Trường PTTH Thị xã Quảng Trị. Năm 1999, ông tốt nghiệp chuyên ngành Luật Hình sự tại Đại học Luật TP. Hồ Chí Minh, và trở thành luật sư thuộc Đoàn Luật sư tỉnh Đồng Nai từ năm 2008.
Với tầm nhìn chiến lược và tinh thần khởi nghiệp mạnh mẽ, từ năm 2003, ông đồng sáng lập và giữ vai trò Chủ tịch kiêm Tổng Giám đốc Công ty TNHH Đại An Thái – doanh nghiệp hoạt động trong lĩnh vực sản xuất thuốc thủy sản, khoáng chất và nguyên liệu phân bón. Công ty có trụ sở chính tại Khu dân cư An Sương, phường Đông Hưng Thuận, TP.HCM, và nhà máy sản xuất đặt tại Lô A1.2, KCN Đức Hòa III, tỉnh Tây Ninh.
Không dừng lại ở đó, ông tiếp tục mở rộng hoạt động trong lĩnh vực nuôi trồng thủy sản (NTTS) khi đồng sáng lập và giữ chức Chủ tịch Công ty TNHH Đại Việt Thái (thành lập năm 2007), chuyên nhập khẩu và phân phối các sản phẩm phục vụ NTTS.
Năm 2023, ông cũng là người sáng lập Công ty TNHH Đại Hưng Thái, doanh nghiệp chuyên phân phối, bán lẻ sản phẩm thủy sản qua các nền tảng thương mại điện tử, đặt trụ sở tại KDC Thủ Đức House, phường Tam Bình, TP.HCM.
Không chỉ là một luật sư và doanh nhân thành đạt, ông Lê Phước Trung còn tích cực tham gia các hoạt động cộng đồng, là người luôn hướng về quê hương. Hiện ông đang giữ vai trò Phó Chủ tịch Hội Tennis Hải Lăng Nghĩa Tình – nơi kết nối những người con Hải Lăng xa quê, cùng chung tay hỗ trợ các hoạt động thiện nguyện và sẻ chia với bà con còn nhiều khó khăn.</t>
  </si>
  <si>
    <t xml:space="preserve">Công ty TNHH Đại An Thái được thành lập ngày 23 tháng 6 năm 2003, chuyên nghành sản xuất thuốc thú y, Thuốc thú y thủy sản, chất xử lý môi trường nuôi trồng thủy sản và phân bón.
Nghành nghề mũi nhọn của Công ty là chuyên nghành sản xuất thuốc thú y thủy sản, chất xử lý môi trường nuôi trồng thủy sản với hệ thống các sản phẩm, dịch vụ đa dạng đáp ứng tất cả các giai đoạn cũng như nhu cầu nuôi trồng thủy sản của nông dân từ con tôm sú, tôm thẻ, ốc, nghêu, cua, cá nước mặn, nước lợ và nước ngọt…
Sản phẩm của Công ty được sản xuất và quản lý theo hệ thống chất lượng ISO 9001:2015 cùng với việc ưu tiên lựa chọn nguyên liệu đầu vào nhập khẩu từ Châu Âu, Nhật Bản, Hoa Kỳ và Ấn Độ…Vì vậy sản phẩm đầu ra của Công ty luôn đảm bảo chất lượng đáp ứng yêu cầu ngày càng cao của người nông dân, nhờ vậy sản phẩm Thuốc Thủy sản của công ty đã có mặt nhiều vùng miền NTTS trong cả nước.
Với phương châm “Đồng hành và chia sẻ” Công ty TNHH Đại An Thái  mong muốn mang đến cho khách hàng những sản phẩm thiết thực nhất để cùng khách hàng làm giàu và phát triển nghề nuôi trồng thủy sản bền vững, đảm bảo được giá trị xuất khẩu, càng ngày càng tiến xa hơn trên trường Quốc tế.
“Chung một niềm tin” là mong muốn khách hàng tin tưởng sản phẩm, dịch vụ, chúng tôi củng cố niềm tin bằng việc cam kết chất lượng sản phẩm, dịch vụ và tin tưởng những vụ mùa thắng lợi sẽ luôn đến với khách hàng khi sử dụng sản phẩm, dịch vụ của chúng tôi.
“CHUNG MỘT NIỀM TIN”: TIN DÙNG + NIỀM TIN = THẮNG LỢI </t>
  </si>
  <si>
    <t>HẠT SINH HỌC - SIÊU ỐC GẠO, TRÙN CHỈ GÂY MÀU</t>
  </si>
  <si>
    <t>1.png</t>
  </si>
  <si>
    <t>Công dụng:
Tạo nguồn thức ăn tự nhiên nhanh cho tôm, cá.
Tạo màu nước, kích thích tảo phát triển ổn định.
Cung cấp dinh dưỡng cho sinh vật có lợi.
Tạo thức ăn bổ sung dinh dưỡng cho ốc gạo, trùn chỉ.
Bổ sung khoáng chất dinh dưỡng cho ao tôm, cá.</t>
  </si>
  <si>
    <t>BIO WINMAX</t>
  </si>
  <si>
    <t>2.png</t>
  </si>
  <si>
    <t>Sản phẩm vi sinh đường ruột kết hợp ức chế bệnh EHP là giải pháp toàn diện để bảo vệ sức khỏe đường ruột, ngăn ngừa bệnh tật và tăng sức đề kháng cho vật nuôi.
Cải thiện hệ tiêu hóa:
- Giúp cân bằng hệ vi sinh đường ruột, hỗ trợ tiêu hóa tốt hơn.
- Tăng cường khả năng hấp thu dinh dưỡng từ thức ăn.
- Giảm thiểu các vấn đề về tiêu hóa như tiêu chảy, khó tiêu.
Tăng cường hệ miễn dịch:
- Kích thích hệ thống miễn dịch tự nhiên, giúp cơ thể đề kháng tốt hơn với các mầm bệnh.
- Bảo vệ đường ruột khỏi sự xâm nhập của vi khuẩn và vi rút có hại.
Ức chế bệnh EHP:
- Hỗ trợ ngăn chặn sự phát triển của vi rút EHP gây bệnh trong hệ tiêu hóa.
- Giảm nguy cơ mắc bệnh tôm chết sớm, bảo vệ sức khỏe vật nuôi.</t>
  </si>
  <si>
    <t xml:space="preserve">GROW UP
</t>
  </si>
  <si>
    <t>3.png</t>
  </si>
  <si>
    <t>Bổ sung các loại acid amin, khoáng chất, vitamin cần thiết vào thức ăn tôm, cá, ếch giúp cân bằng nhu cầu dinh dưỡng hàng ngày thúc đẩy tăng trọng, giảm thời gian nuôi và ít tiêu tốn thức ăn.</t>
  </si>
  <si>
    <t>Trợ lý LAZINET</t>
  </si>
  <si>
    <t>A007</t>
  </si>
  <si>
    <t>Lê Văn Cầu</t>
  </si>
  <si>
    <t>Cau2_w256.webp</t>
  </si>
  <si>
    <t>Phó chủ tịch CLB - Giám đốc</t>
  </si>
  <si>
    <t>CÔNG TY BẢO HIỂM AAA (BSG)</t>
  </si>
  <si>
    <t>AAA Insurance</t>
  </si>
  <si>
    <t>0303705665-049</t>
  </si>
  <si>
    <t>cropped-logo-web.jpeg</t>
  </si>
  <si>
    <t>Số 8-8A, Tú Xương, Phường Xuân Hòa, Thành phố Hồ Chí Minh</t>
  </si>
  <si>
    <t>0903939815</t>
  </si>
  <si>
    <t>lecau@aaa.com.vn</t>
  </si>
  <si>
    <t>84903939815</t>
  </si>
  <si>
    <t>https://www.aaa.com.vn</t>
  </si>
  <si>
    <t>Bảo hiểm Phi Nhân Thọ</t>
  </si>
  <si>
    <t>BH Ô Tô Xe Máy &amp; Tài Sản</t>
  </si>
  <si>
    <t>BH Chăm Sóc Sức Khỏe</t>
  </si>
  <si>
    <t>BH Du Lịch &amp; Cháy Nổ</t>
  </si>
  <si>
    <t>BH Trách Nhiệm Dân Sự</t>
  </si>
  <si>
    <t>BH Xây Dựng Lắp Đặt</t>
  </si>
  <si>
    <t>QUYỀN ĐƯỢC AN TÂM</t>
  </si>
  <si>
    <t>Anh Lê Văn Cầu – Người con Hải Lăng giàu tâm huyết với quê hương
Anh Lê Văn Cầu sinh ra và lớn lên tại làng Văn Vận, xã Hải Quy, huyện Hải Lăng, tỉnh Quảng Trị – một vùng quê giàu truyền thống hiếu học và nghĩa tình. Sau khi tốt nghiệp Trường Trung học số 1 Triệu Hải, anh tiếp tục theo học Cử nhân Sinh học tại Đại học Tổng hợp Huế, khóa 12 (1988–1992), hệ chính quy.
Ngay sau khi ra trường, anh bắt đầu sự nghiệp tại Công ty giám định OMIC – Nhật Bản với vai trò chuyên gia giám định từ năm 1992 đến 2003. Công việc đòi hỏi sự chính xác, tính kỷ luật cao và đạo đức nghề nghiệp nghiêm ngặt đã giúp anh rèn luyện tác phong làm việc chuyên nghiệp theo chuẩn quốc tế và tích lũy nền tảng kiến thức vững chắc.
Từ năm 2003 đến nay, anh chuyển hướng sang lĩnh vực bảo hiểm phi nhân thọ – một ngành đặc thù đòi hỏi kiến thức đa ngành như hàng hải, kỹ thuật tài sản, xây dựng lắp đặt, cơ khí… Với hơn 20 năm kinh nghiệm, anh từng giữ những vị trí quan trọng tại nhiều tập đoàn bảo hiểm lớn trong và ngoài nước như Groupama (Pháp), Taiwan, Korea và IAG–AAA (Úc).
Hiện tại, anh Lê Văn Cầu đang giữ chức vụ Giám đốc Chi nhánh Bắc Sài Gòn – Bảo hiểm AAA, đặt trụ sở tại Số 8–8A Tú Xương, Phường Xuân Hòa, TP. Hồ Chí Minh. Anh được đồng nghiệp và đối tác biết đến như một nhà quản lý tận tâm, giàu kinh nghiệm, luôn đề cao uy tín, trách nhiệm và chất lượng dịch vụ trong mọi hoạt động kinh doanh.
Không chỉ thành công trong sự nghiệp, anh Lê Văn Cầu còn là người luôn hướng lòng về quê hương. Với vai trò Chủ tịch Hội Tennis Hải Lăng Nghĩa Tình trong 5 năm liên tiếp, anh là cầu nối giữa những người con xa quê, thường xuyên kêu gọi hỗ trợ, chia sẻ khó khăn với bà con nghèo tại quê nhà – nơi vẫn còn nhiều hoàn cảnh khó khăn, thiếu thốn cần được giúp đỡ.</t>
  </si>
  <si>
    <t>Tổng Công ty Cổ phần Bảo hiểm AAA (AAA Insurance Corporation) là một trong những công ty bảo hiểm phi nhân thọ uy tín và lâu năm tại Việt Nam, thành lập năm 2005.
Công ty hiện thuộc Tập đoàn Bamboo Capital (BCG), với sứ mệnh đồng hành và bảo vệ khách hàng trước những yếu tố không mong muốn trong cuộc sống, mang lại ý nghĩa cao đẹp nhất cho từ "bảo hiểm" tại Việt Nam.
Trụ sở chính: 10-12 Đường số 52, Phường Cát Lái, TP. Thủ Đức, TP. Hồ Chí Minh (cập nhật mới nhất).
Mã số thuế: 0303705665.
Hotline: 1900 54 54 35 | Email: contact@aaa.com.vn | Website: https://www.aaa.com.vn/
Các dịch vụ chính:
Bảo hiểm ô tô, xe máy
Bảo hiểm chăm sóc sức khỏe
Bảo hiểm du lịch
Bảo hiểm cháy nổ bắt buộc
Bảo hiểm xây dựng, lắp đặt
Bảo hiểm tài sản, hàng hải, trách nhiệm dân sự và nhiều sản phẩm khác
Công ty nổi bật với thủ tục bồi thường nhanh chóng chỉ trong vài phút, tái ký sản phẩm dễ dàng qua app My AAA chỉ với 1 cú click, mua bảo hiểm online tiện lợi với ưu đãi lớn, và mạng lưới chi nhánh rộng khắp (hơn 10.000 đối tác uy tín).
AAA cam kết lấy khách hàng làm trung tâm, dịch vụ chuyên nghiệp, tận tình, liên tục đổi mới (thay đổi logo và bộ nhận diện thương hiệu năm 2022, hợp tác chiến lược với Marsh – môi giới bảo hiểm lớn nhất thế giới).
Chi nhánh Bắc Sài Gòn (dẫn dắt bởi anh Lê Văn Cầu) là một trong những chi nhánh quan trọng, góp phần phát triển mạnh mẽ tại khu vực TP. Hồ Chí Minh.</t>
  </si>
  <si>
    <t>Dịch vụ bảo hiểm</t>
  </si>
  <si>
    <t>Insurance-1.jpg</t>
  </si>
  <si>
    <t>Bảo hiểm ô tô, xe máy
- Bảo hiểm chăm sóc sức khỏe
- Bảo hiểm du lịch
- Bảo hiểm cháy nổ bắt buộc
- Bảo hiểm xây dựng, lắp đặt
- Bảo hiểm tài sản, hàng hải, trách nhiệm dân sự và nhiều sản phẩm khác</t>
  </si>
  <si>
    <t>cropped-logo-web_w256.webp</t>
  </si>
  <si>
    <t>Cau2.jpg</t>
  </si>
  <si>
    <t>A008</t>
  </si>
  <si>
    <t>A045</t>
  </si>
  <si>
    <t>Lê Phước Bình</t>
  </si>
  <si>
    <t>Binh_W128.webp</t>
  </si>
  <si>
    <t>Phó chủ tịch CLB - CEO</t>
  </si>
  <si>
    <t>CÔNG TY CỔ PHẦN ĐẦU TƯ PHÁT TRIỂN MINH GLOBAL</t>
  </si>
  <si>
    <t>MINH GLOBAL</t>
  </si>
  <si>
    <t>0315803177</t>
  </si>
  <si>
    <t>minhglobal.png</t>
  </si>
  <si>
    <t>Số 140 Nguyễn Văn Thủ, Phường Tân Định, TP Hồ Chí Minh</t>
  </si>
  <si>
    <t>0938918560</t>
  </si>
  <si>
    <t>binh.lp@minhglobal.com</t>
  </si>
  <si>
    <t>84938918560</t>
  </si>
  <si>
    <t>https://minhglobal.com</t>
  </si>
  <si>
    <t>Thiết kế kiến trúc &amp; Kết cấu</t>
  </si>
  <si>
    <t>Thi công xây dựng tinh gọn</t>
  </si>
  <si>
    <t>Quản lý dự án chuẩn FIDIC</t>
  </si>
  <si>
    <t>Phát triển dự án công nghiệp</t>
  </si>
  <si>
    <t>Thiết kế &amp; Lắp đặt M.E.P</t>
  </si>
  <si>
    <t>Thi công nội thất &amp; Ngoại thất</t>
  </si>
  <si>
    <t>Tư vấn chiến lược đầu tư</t>
  </si>
  <si>
    <t>Giải pháp Logistics &amp; Nhà xưởng</t>
  </si>
  <si>
    <t>THẤU HIỂU TIÊU CHÍ, KIẾN TẠO BỀN VỮNG</t>
  </si>
  <si>
    <t>MINH GLOBAL – ĐƠN VỊ THIẾT KẾ, THI CÔNG &amp; PHÁT TRIỂN DỰ ÁN HÀNG ĐẦU
"Quest for BEST – Thấu hiểu mục tiêu, vượt mong đợi"
GIỚI THIỆU CHUNG
Minh Global là một tập thể chuyên gia hội tụ hơn 700 năm kinh nghiệm thực chiến trong lĩnh vực xây dựng công nghiệp và dân dụng. Với mô hình sở hữu 100% bởi nhân viên, chúng tôi hoạt động với tinh thần trách nhiệm cao nhất, cam kết mang đến những kết quả vượt trội về kỹ thuật, thời gian và tài chính. Minh Global tự hào đã thực hiện hơn 35 dự án lớn trên 17 địa điểm khu công nghiệp và 13 ngành nghề khác nhau, khẳng định vị thế là đối tác tin cậy của nhiều khách hàng quốc tế.
NĂNG LỰC CỐT LÕI
Chúng tôi áp dụng phương pháp "Xây dựng tinh gọn" (Lean Construction) và các quy trình quản lý dựa trên chuẩn FIDIC để kiểm soát rủi ro và tối ưu hóa nguồn lực. Từ khâu thiết kế tích hợp (Concept đến MEP) cho đến quản lý vận hành, Minh Global luôn đảm bảo sự hài hòa giữa tính sáng tạo và hiệu quả thực tế, tạo ra những công trình bền vững và có giá trị sử dụng cao.
GIÁ TRỊ VÀ TRÁCH NHIỆM
Với phương châm "Quest for BEST", chúng tôi không ngừng tìm kiếm sự hoàn hảo trong từng bước thực hiện tại công trường. Minh Global tin rằng mỗi công trình không chỉ là một thực thể độc lập mà là một phần không thể thiếu của cộng đồng và thiên nhiên, cam kết hành động chính trực để mang lại giá trị tốt nhất cho tất cả các bên liên quan.
THÔNG TIN LIÊN HỆ
Trụ sở chính: Phòng 301, Lầu 3, 140 Nguyễn Văn Thủ, Phường Tân Định, TP. HCM.
Văn phòng: 146 Bis Nguyễn Văn Thủ, Phường Tân Định, TP. HCM.
Điện thoại: (+84) 028 3820 5969 | Email: contact@minhglobal.com</t>
  </si>
  <si>
    <t>minhglobal_w256.webp</t>
  </si>
  <si>
    <t>A009</t>
  </si>
  <si>
    <t>Hoàng Minh Phụng</t>
  </si>
  <si>
    <t>avatar-small.webp</t>
  </si>
  <si>
    <t>Ban Công nghệ &amp; TMĐT CLB - Giám đốc</t>
  </si>
  <si>
    <t>CÔNG TY TNHH CUỘC SỐNG VUI KHỎE</t>
  </si>
  <si>
    <t>0318170229</t>
  </si>
  <si>
    <t>HathyoV1_Square_Logo_Name.png</t>
  </si>
  <si>
    <t>82 Phan Đăng Lưu, Phường Đức Nhuận, TP. Hồ Chí Minh</t>
  </si>
  <si>
    <t>https://maps.app.goo.gl/2PZ1LYp7b2h47sEU8</t>
  </si>
  <si>
    <t>89 Phan Đình Phùng, Phường Phú Nhuận, TP. Hồ Chí Minh</t>
  </si>
  <si>
    <t>https://maps.app.goo.gl/naBvzHVEyamo3GDs5</t>
  </si>
  <si>
    <t>0908556220</t>
  </si>
  <si>
    <t>email@hathyo.com</t>
  </si>
  <si>
    <t>84983667248</t>
  </si>
  <si>
    <t>kL0n159LZGiGdGNVZjl22tU?s=3</t>
  </si>
  <si>
    <t>https://www.facebook.com/messages/t/524326857425663</t>
  </si>
  <si>
    <t>https://hathyo.com</t>
  </si>
  <si>
    <t>https://fb.com/hathyoVN</t>
  </si>
  <si>
    <t>https://www.linkedin.com/company/hathyo</t>
  </si>
  <si>
    <t>Sàn TMĐT sức khỏe &amp; lành mạnh</t>
  </si>
  <si>
    <t>Sản phẩm, dịch vụ lĩnh vực sức khỏe</t>
  </si>
  <si>
    <t>Công cụ hỗ trợ tối ưu bán hàng &amp; CSKH</t>
  </si>
  <si>
    <t>Phần mềm, Web/ App bán hàng online</t>
  </si>
  <si>
    <t>Giải pháp doanh nghiệp: ERP, CRM, MES</t>
  </si>
  <si>
    <t>Chuyển đổi số, AI &amp; IoT, tự động hóa</t>
  </si>
  <si>
    <t>CÙNG BẠN VUI KHỎE HƠN!</t>
  </si>
  <si>
    <t>HỒ SƠ NĂNG LỰC LÃNH ĐẠO &amp; CHUYÊN GIA CÔNG NGHỆ
HOÀNG MINH PHỤNG
Business Development &amp; Digital Transformation Executive | Founder &amp; Innovator
________________________________________
I. THÔNG TIN CÁ NHÂN &amp; TIỂU SỬ
•        Họ và tên: Hoàng Minh Phụng
•        Năm sinh: 06/06/1983
•        Liên hệ: +84-908556220 | phunghm@gmail.com | [LinkedIn Profile]
•        Địa chỉ: TP. Hồ Chí Minh, Việt Nam
Tiểu sử &amp; Quê quán:
Tôi sinh ra tại Vĩnh Thành, Vĩnh Linh (nay là xã Cửa Tùng), tỉnh Quảng Trị. Tuổi thơ gắn liền với vùng đất Cam Hiếu, Cam Lộ (nay là xã Hiếu Giang). Những năm tháng cấp ba, tôi theo học tại ngôi trường giàu truyền thống – Trường THPT Chuyên Lê Quý Đôn, TP. Đông Hà.
Năm 2001, tôi rời quê hương vào TP.HCM, mang theo khát vọng chinh phục công nghệ tại Học viện Công nghệ Bưu chính Viễn thông (PTIT) và tốt nghiệp Kỹ sư Điện tử - Viễn thông năm 2006.
Hiện tại, gia đình nhỏ của tôi (với vợ là người đồng hương thị trấn Hải Lăng - nay là xã Diên Sanh) đang sinh sống và làm việc tại TP.HCM, trong khi ba mẹ tôi vẫn gắn bó với quê nhà tại xã Trung Hải, huyện Gio Linh (xã Bến Hải mới).
________________________________________
II. TÓM TẮT NĂNG LỰC
Chuyên gia điều hành công nghệ dạn dày với hơn 15 năm kinh nghiệm thúc đẩy tăng trưởng kinh doanh toàn cầu và chuyển đổi số tại các khu vực Đông Nam Á (SEA), Châu Á - Thái Bình Dương (APAC) và Trung Đông - Bắc Phi (MENA).
Sở hữu sự kết hợp hiếm có giữa năng lực kỹ thuật chuyên sâu (AI, IoT, Cloud, Big Data) và tư duy thương mại sắc bén (Chiến lược bán hàng, Phân tích thị trường).
Hiện tại, tôi đang đảm nhiệm vai trò kép:
1.        Lãnh đạo phát triển kinh doanh cho Viettel Software tại miền Nam.
2.        Sáng lập &amp; Điều hành hệ sinh thái công nghệ LAZINET và nền tảng TMĐT HATHYO.
________________________________________
III. HÀNH TRÌNH KHỞI NGHIỆP &amp; LÃNH ĐẠO DOANH NGHIỆP (FOUNDER TRACK)
1. CÔNG TY TNHH CÔNG NGHỆ ỨNG DỤNG LAZINET
Vai trò: Founder &amp; Innovation Principal (Nhà sáng lập &amp; Kiến trúc sư trưởng đổi mới sáng tạo)
Thời gian: 11/2024 – Nay
Tầm nhìn: LAZINET là đối tác chuyển đổi số toàn diện, biến công nghệ thành nguồn lực lao động mới cho doanh nghiệp.
Các mảng dịch vụ &amp; giải pháp trọng tâm:
Tôi trực tiếp dẫn dắt đội ngũ R&amp;D, xây dựng kiến trúc hệ thống và quản lý đối tác để triển khai các giải pháp công nghệ tiên tiến:
•        Phần mềm, Web/ App: Phát triển ứng dụng đa nền tảng tùy biến theo nhu cầu doanh nghiệp.
•        Chuyển đổi số thực hành: Tư vấn và triển khai lộ trình số hóa thực tế, tối ưu vận hành.
•        Thương mại điện tử: Giải pháp sàn TMĐT, tích hợp thanh toán và vận vận đơn.
•        IoT &amp; Giải pháp thông minh: Ứng dụng cho Nông nghiệp (AgriTech), Thủy sản (AquaTech), Smart City.
•        ERP &amp; Hỗ trợ kinh doanh: Hệ thống quản trị nguồn lực doanh nghiệp và công cụ hỗ trợ bán hàng.
•        RPA &amp; Tự động quy trình: Tự động hóa các tác vụ lặp lại giúp tăng năng suất.
•        AI &amp; Phân tích dữ liệu: Ứng dụng Trí tuệ nhân tạo và Big Data để hỗ trợ ra quyết định.
•        Mạng và đám mây (Cloud): Hạ tầng số linh hoạt và bảo mật.
Hoạt động Cộng đồng &amp; Đào tạo:
•        Đối tác chiến lược của ĐH Công Thương TP.HCM (HUIT): LAZINET là "vườn ươm" tài năng công nghệ, tiếp nhận thực tập sinh và đào tạo thực chiến về AI, Data Science.
•        Diễn giả công nghệ: Tôi thường xuyên tham gia chia sẻ tại các hội thảo chuyên ngành, truyền cảm hứng cho sinh viên với các chủ đề:
o        "AI trên nền Google Apps: Giải pháp siêu hiệu quả cho doanh nghiệp".
o        "GenZ sẵn sàng cho kỷ nguyên số".
o        "Khoa học dữ liệu - Nghề của hiện tại và tương lai".
•        Hoạt động Hiệp hội: Thành viên sáng lập, phụ trách Ban Truyền thông &amp; CNTT tại Câu lạc bộ Doanh nhân Quảng Trị. Tại đây, LAZINET cung cấp các giải pháp CNTT tối ưu hóa cho cộng đồng doanh nghiệp thành viên.
2. HATHYO (CÔNG TY TNHH CUỘC SỐNG VUI KHỎE)
Vai trò: Founder &amp; Vận hành
Thời gian: 11/2023 – Nay
Website: hathyo.com | Slogan: "Cùng bạn vui khỏe hơn!"
Mô tả:
Sáng lập và vận hành nền tảng thương mại điện tử chuyên biệt về sức khỏe và lối sống (Well-being E-commerce). HATHYO không chỉ là nơi mua sắm mà là một hệ sinh thái toàn diện:
•        Hệ sinh thái 4 trụ cột: Dinh dưỡng (Thực phẩm hữu cơ, tư vấn), Vận động (Thời trang, thiết bị thể thao), Tinh thần (Trị liệu, tư vấn tâm lý), Bệnh lý (TPCN, tư vấn y khoa).
•        Công nghệ tích hợp: Ứng dụng công cụ tính toán chỉ số sức khỏe (BMI, Body Fat, Pace) và AI để cá nhân hóa trải nghiệm người dùng.
•        Mô hình O2O: Kết nối các chuyên gia (Bác sĩ, HLV, Chuyên gia tâm lý) với người dùng và hỗ trợ đối tác bán hàng quản lý đa kênh.
________________________________________
IV. KINH NGHIỆM QUẢN LÝ TẠI CÁC TẬP ĐOÀN CÔNG NGHỆ (CORPORATE TRACK)
1        VIETTEL SOFTWARE (Vietnam)
Chức vụ: Trưởng Văn phòng Đại diện Miền Nam / Giám đốc Phát triển Kinh doanh (BD Lead)
Thời gian: 11/2024 – Nay
•        Lãnh đạo chiến lược mở rộng thị trường miền Nam, đóng vai trò cầu nối giữa năng lực kỹ thuật và mục tiêu doanh thu.
•        Xây dựng và cố vấn cho đội ngũ kinh doanh, tư vấn giải pháp (Presales), SA, BA nhằm thúc đẩy bán hàng tư vấn (consultative selling) cho khối Chính phủ và Doanh nghiệp lớn.
•        Chủ trì các cuộc đàm phán cấp C-level, chốt thành công các hợp đồng giá trị lớn (tổng giá trị ~30 tỷ VNĐ) trong các lĩnh vực DMS, LIMS, MES.
•        Tham mưu cho Ban lãnh đạo Tập đoàn về chiến lược sản phẩm AI, IoT, Cloud, Blockchain.
2        ENCITY URBAN SOLUTIONS (Vietnam, Singapore)
Chức vụ: Giám đốc Công nghệ Số (Principal of Digital Technologies) &amp; Phát triển Sản phẩm
Thời gian: 03/2022 – 05/2024
•        Tư vấn chiến lược và lãnh đạo sản phẩm cho các giải pháp Deep-tech trong Smart City và AgriTech.
•        Đóng góp phần công nghệ số quan trọng vào sự thành công của các dự án quy hoạch đô thị trị giá 150 tỷ VNĐ.
•        Kiến trúc sư giải pháp cho Startup Enfarm (thành viên EnCity Group): R&amp;D hệ thống nông nghiệp thông minh, IoT hardware, AI sensor.
3        HUAWEI TECHNOLOGIES (SEA &amp; Global Markets)
Chức vụ: Giám đốc Kỹ thuật &amp; Chuyên gia Khu vực (Technical Director / Regional Expert)
Thời gian: 01/2015 – 12/2021 (Và giai đoạn trước đó 2014)
•        Lãnh đạo kỹ thuật: Chỉ huy công tác đấu thầu, quy hoạch và triển khai các dự án mạng lưới viễn thông khổng lồ tại Thái Lan, Myanmar, Ấn Độ, Nepal, Việt Nam.
•        Chiến thắng thầu: Dẫn dắt đội ngũ Presales thiết kế giải pháp kỹ thuật tối ưu, thắng các gói thầu trị giá hàng triệu USD với các nhà mạng Tier-1 (Telenor, Vodafone, Viettel, MPT).
•        Quản lý đa văn hóa: Điều phối đội ngũ đa quốc gia và làm việc trực tiếp với trụ sở R&amp;D Thâm Quyến để tùy chỉnh giải pháp cho thị trường địa phương.
4        KINH NGHIỆM GIAI ĐOẠN ĐẦU (2006 - 2013)
•        AIRCOM INTERNATIONAL (TEOCO): Chuyên gia tối ưu hóa mạng lưới cấp cao, thực hiện dự án tại UAE, Sudan, Campuchia, Bangladesh.
•        VNPT-NEC: Kỹ sư triển khai hệ thống truyền dẫn cho MobiFone.
•        S-FONE: Kỹ sư vận hành và bảo dưỡng mạng lưới (OAM).
________________________________________
V. TRÌNH ĐỘ HỌC VẤN &amp; CHỨNG CHỈ
Học vấn chính quy:
•        Kỹ sư Điện tử - Viễn thông: Học viện Công nghệ Bưu chính Viễn thông (PTIT), TP.HCM (2001 – 2006).
Các chứng chỉ &amp; Đào tạo nâng cao:
•        Quản trị &amp; Kinh doanh: Chiến lược bán hàng (Chicago Booth), Quản lý dự án, Quản lý sản phẩm.
•        Dữ liệu &amp; AI: Business Analytics (Wharton Penn), Data Science (Microsoft), Machine Learning (Stanford), Deep Learning AI, Google Data Engineering, TensorFlow.
•        Viễn thông &amp; IoT: Huawei Future Star, 5G Digital Delivery, Smart Cities Management (EPFL), AWS IoT.
•        Lập trình &amp; Tech Stack: Thành thạo Python, C/C++, Java Spring Boot, AWS, GCP, và các công nghệ nhúng.
________________________________________
VI. SỞ THÍCH &amp; GIÁ TRỊ CỐT LÕI
•        Sở thích: E-commerce, Guitar, Nghệ thuật công nghệ, Lập trình vui vẻ (Happy Coding), Lịch sử, Du lịch, Thể thao 3 môn phối hợp (Triathlon) &amp; MMA.
•        Triết lý: Kết hợp tư duy kỹ thuật logic với tầm nhìn kinh doanh nhân văn để tạo ra các sản phẩm công nghệ thực sự phục vụ cuộc sống.</t>
  </si>
  <si>
    <t>GIỚI THIỆU VỀ HATHYO Happy Heathy E-Commerce
HATHYO – “Cùng bạn vui khỏe hơn!” là nền tảng thương mại điện tử (O2O Well-being E-commerce) chuyên biệt về sức khỏe và lối sống lành mạnh, được vận hành bởi Công ty TNHH Cuộc Sống Vui Khỏe (địa chỉ: 82 Phan Đăng Lưu, Phường Đức Nhuận, TP. HCM).  
Ra mắt từ năm 2023, HATHYO không đơn thuần là một sàn thương mại điện tử mà là hệ sinh thái toàn diện giúp người dùng cải thiện sức khỏe thể chất, tinh thần và lối sống một cách khoa học, bền vững.  
Slogan “Cùng bạn vui khỏe hơn!” thể hiện triết lý cốt lõi: Mua sắm không chỉ là giao dịch, mà là hành trình đồng hành cùng khách hàng hướng tới cuộc sống vui khỏe, lành mạnh và hạnh phúc hơn mỗi ngày.  
Mô hình kinh doanh &amp; Hệ sinh thái 4 trụ cột:
1. Dinh dưỡng — Thực phẩm hữu cơ, siêu thực phẩm, bún gạo lứt, đồ ăn lành mạnh, thực phẩm chức năng (TPCN).  
2. Vận động — Thời trang thể thao, thiết bị tập luyện (dây kháng lực Miniband GoodFit, xe đạp thể dục mini, dụng cụ tập mông…), phụ kiện thể thao.  
3. Tinh thần — Sách, công cụ thiền, tư vấn tâm lý, trị liệu tinh thần.  
4. Bệnh lý &amp; Chăm sóc y tế — TPCN hỗ trợ sức khỏe, tư vấn y khoa từ chuyên gia.  
Công nghệ &amp; Tính năng nổi bật:
• Công cụ tính toán sức khỏe thông minh: BMI, Body Fat (tỷ lệ mỡ cơ thể), Pace chạy bộ…  
• AI cá nhân hóa: Gợi ý sản phẩm và chương trình tập luyện phù hợp với từng cá nhân.  
• Mô hình O2O (Online-to-Offline): Kết nối trực tiếp người dùng với chuyên gia (bác sĩ, huấn luyện viên, chuyên gia tâm lý) và hỗ trợ đối tác bán hàng quản lý đa kênh.  
• Nội dung giá trị: Blog chia sẻ kiến thức thực tế về tập luyện (squat biến thể, bơi lội giảm cân, đá phạt góc…), dinh dưỡng và lối sống lành mạnh.  
HATHYO hướng đến đối tượng là người trẻ, gia đình hiện đại và những ai đang tìm kiếm giải pháp sức khỏe toàn diện, khoa học, tiện lợi và giá cả hợp lý. Với cam kết “Cùng vui mua sắm – Bán hàng vui khỏe – Quà tặng cuộc sống”, HATHYO không ngừng mở rộng sản phẩm chất lượng cao, chương trình ưu đãi hấp dẫn và xây dựng cộng đồng sống khỏe mạnh tại Việt Nam.
GIỚI THIỆU VỀ LAZINET - Effective Technologies
LAZINET – Đối tác Chuyển đổi Số Toàn diện là startup công nghệ Việt Nam được thành lập với sứ mệnh biến công nghệ thành nguồn lực lao động mới, giúp doanh nghiệp không chỉ vận hành hiệu quả hơn mà còn tạo ra lợi thế cạnh tranh đột phá trong kỷ nguyên số.  
Với khẩu hiệu “Nền tảng số toàn diện, thông minh &amp; tùy biến mang lại lợi thế cạnh tranh đột phá”, LAZINET không chỉ là nhà cung cấp giải pháp mà còn là đối tác chiến lược lâu dài, đồng hành cùng doanh nghiệp từ khâu tư vấn chiến lược đến triển khai thực tế và hỗ trợ vận hành bền vững.  
Đội ngũ chuyên gia giàu kinh nghiệm (với nền tảng từ Viettel, Huawei và các dự án quốc tế) tập trung xây dựng hệ sinh thái số hoàn chỉnh, giúp doanh nghiệp tối ưu chi phí, giảm thời gian đưa sản phẩm ra thị trường lên đến 40% và tăng năng suất vận hành rõ rệt.  
Các mảng kinh doanh &amp; giải pháp cốt lõi:
• Phát triển phần mềm &amp; Ứng dụng tùy chỉnh: Xây dựng ERP-SME (quản lý tồn kho, đơn hàng, công nợ), MES (Manufacturing Execution System) – hệ thống điều khiển sản xuất thời gian thực tích hợp IoT giúp giảm lãng phí nguyên vật liệu lên đến 25%, SMOS (Sales &amp; Operations Management System), hệ thống MOOC đào tạo trực tuyến và OGSM quản lý mục tiêu chiến lược.  
• Chuyển đổi số toàn diện: Tư vấn và triển khai lộ trình số hóa thực tiễn cho doanh nghiệp vừa và nhỏ, từ quy trình nội bộ đến kết nối chuỗi cung ứng.  
• Thương mại điện tử: Xây dựng website TMĐT chuyên nghiệp, tích hợp thanh toán, vận đơn và công cụ hỗ trợ bán hàng đa kênh.  
• IoT &amp; Giải pháp thông minh: Giám sát máy móc thời gian thực, bảo trì dự đoán, ứng dụng trong sản xuất, nông nghiệp (AgriTech), thủy sản (AquaTech) và Smart City.  
• AI &amp; Phân tích dữ liệu: Ứng dụng Trí tuệ nhân tạo, Big Data để hỗ trợ ra quyết định nhanh chóng và chính xác.  
• RPA &amp; Tự động hóa quy trình: Tự động hóa các tác vụ lặp lại, giải phóng nguồn nhân lực cho công việc giá trị cao hơn.  
• ERP &amp; Hỗ trợ kinh doanh: Hệ thống quản trị nguồn lực doanh nghiệp toàn diện, kết hợp công cụ bán hàng tư vấn (consultative selling).  
• Mạng &amp; Đám mây (Cloud): Hạ tầng số linh hoạt, bảo mật cao, dễ mở rộng.  
LAZINET đặc biệt mạnh ở khả năng tùy biến theo nhu cầu thực tế của từng doanh nghiệp, không áp dụng giải pháp “một kích cỡ cho tất cả”. Hiện nay, LAZINET là đối tác tin cậy của nhiều doanh nghiệp sản xuất, thương mại và dịch vụ tại Việt Nam, đồng thời là “vườn ươm” tài năng công nghệ thông qua hợp tác chiến lược với Đại học Công Thương TP.HCM (HUIT) – tiếp nhận thực tập sinh và đào tạo thực chiến về AI, Data Science.  
Ngoài ra, với vai trò thành viên sáng lập và phụ trách Ban Truyền thông &amp; CNTT tại Câu lạc bộ Doanh nhân Quảng Trị, LAZINET còn cung cấp giải pháp CNTT tối ưu cho cộng đồng doanh nhân quê hương.
Cả hai doanh nghiệp LAZINET và HATHYO đều phản ánh rõ tầm nhìn của founder Hoàng Minh Phụng: Kết hợp công nghệ sâu sắc với giá trị nhân văn, tạo ra những giải pháp thực tiễn, mang lại lợi ích thiết thực cho doanh nghiệp và cuộc sống con người.</t>
  </si>
  <si>
    <t>Quản trị Doanh nghiệp</t>
  </si>
  <si>
    <t>Product_01_Image.webp</t>
  </si>
  <si>
    <t>Giải pháp Quản trị Doanh nghiệp của LAZINET được thiết kế để xây dựng nền tảng số hóa vững chắc, biến mọi hoạt động vận hành từ phức tạp thành đơn giản. Chúng tôi cung cấp một hệ sinh thái tích hợp hoàn chỉnh, từ "bộ mặt" kỹ thuật số với các website chuyên nghiệp đến "bộ não" vận hành thông minh với các phần mềm ERP, HRM, CRM, cùng các tiện ích số thiết yếu. Tất cả được vận hành trơn tru trên nền tảng đám mây, giúp doanh nghiệp của bạn loại bỏ rào cản giấy tờ, tăng tốc quyết định và phát triển bứt phá.</t>
  </si>
  <si>
    <t>Điều hành Sản xuất</t>
  </si>
  <si>
    <t>Product_02_Image.webp</t>
  </si>
  <si>
    <t>Giải pháp Điều hành Sản xuất của LAZINET mang sức mạnh của Công nghiệp 4.0 vào nhà máy của bạn. Chúng tôi kết hợp nhuần nhuyễn hệ thống MES, IIoT và AI-Edge để biến một nhà máy thủ công truyền thống thành một hệ sinh thái sản xuất thông minh, tự động và kết nối. Từ lập kế hoạch, phân công ca kíp đến quản lý kho bãi, chất lượng, mọi thứ đều được số hóa và tối ưu, giúp bạn kiểm soát toàn diện và nâng cao sức cạnh tranh trên từng dây chuyền.</t>
  </si>
  <si>
    <t>Hỗ trợ Kinh doanh</t>
  </si>
  <si>
    <t>Product_03_Image.webp</t>
  </si>
  <si>
    <t>Trong kỷ nguyên số, khách hàng là trung tâm và mọi kênh bán hàng đều cần được đồng bộ. Giải pháp Hỗ trợ Kinh Doanh của LAZINET cung cấp một hệ sinh thái toàn diện để bạn chinh phục thị trường. Từ một website bán hàng đơn giản đến một sàn thương mại điện tử phức tạp, hay hệ thống bán hàng đa kênh (Omnichannel), chúng tôi trang bị cho bạn công cụ mạnh mẽ để tiếp cận khách hàng, quản lý vận hành và thúc đẩy doanh số với sự hỗ trợ của AI.</t>
  </si>
  <si>
    <t>Tăng Phương Mai</t>
  </si>
  <si>
    <t>HathyoV1_Square_Logo_Name_w256.webp</t>
  </si>
  <si>
    <t>A010</t>
  </si>
  <si>
    <t>A012</t>
  </si>
  <si>
    <t>Nguyễn Quang Thắng</t>
  </si>
  <si>
    <t>MNhg2_w256.webp</t>
  </si>
  <si>
    <t>PCT CLB - CT HĐQT &amp; Giám đốc</t>
  </si>
  <si>
    <t>CTY CP BAO BÌ VINH NAM &amp; CTY TNHH TỰ ĐỘNG VIỆT QUANG</t>
  </si>
  <si>
    <t>Tự động Việt Quang</t>
  </si>
  <si>
    <t>0304275461</t>
  </si>
  <si>
    <t>vietquang_H128.png</t>
  </si>
  <si>
    <t>142/9 Thoại Ngọc Hầu, Phường Phú Thạnh, TP Hồ Chí Minh, Việt Nam</t>
  </si>
  <si>
    <t>0903943989</t>
  </si>
  <si>
    <t>ngthangquang@gmail.com</t>
  </si>
  <si>
    <t>84903943989</t>
  </si>
  <si>
    <t>https://fb.com/vietquangvitic</t>
  </si>
  <si>
    <t>Sản xuất &amp; kinh doanh thiết bị tự động</t>
  </si>
  <si>
    <t>SX chai nhựa, can nhựa, bao bì nhựa</t>
  </si>
  <si>
    <t>Thiết bị dán màng nhôm trên miệng chai</t>
  </si>
  <si>
    <t>Nắp nhựa khăn ướt &amp; màng seal cao tần</t>
  </si>
  <si>
    <t>BAO BÌ VINH NAM</t>
  </si>
  <si>
    <t>Anh Nguyễn Quang Thắng, cựu học sinh Khóa 2 Trường chuyên Đông Hà – Quảng Trị, là cựu sinh viên ngành Điện tử Viễn thông, Trường Đại học Bách Khoa TP. HCM (niên khóa 1993–1998).
Ngay sau khi tốt nghiệp, anh bắt tay vào khởi nghiệp với Công ty Thiết bị Viễn thông Viễn Quang (thành lập năm 2000). Với niềm đam mê sáng tạo và tinh thần không ngừng học hỏi, đến năm 2004, anh chuyển hướng nghiên cứu chế tạo máy hàn miệng chai bằng công nghệ cảm ứng tần số cao. Sau hai năm miệt mài nghiên cứu, anh đã chế tạo thành công máy dán màng nhôm trên miệng chai – bước đột phá trong công nghệ đóng gói tại Việt Nam.
Năm 2006, anh thành lập Công ty TNHH Tự Động Việt Quang để chuyên sản xuất và cung cấp các thiết bị tự động hóa trong ngành bao bì. Không dừng lại ở đó, năm 2008, anh tiếp tục mở rộng lĩnh vực với Công ty Cổ phần Bao bì Vinh Nam, chuyên sản xuất chai nhựa, can nhựa và các loại màng nhôm, màng bao bì, phục vụ đa dạng ngành hàng tiêu dùng và công nghiệp.
Với hơn hai thập kỷ khởi nghiệp và phát triển, doanh nhân Nguyễn Quang Thắng là một minh chứng sống động cho tinh thần sáng tạo, đổi mới và bản lĩnh của người con đất Quảng Trị.</t>
  </si>
  <si>
    <t>vietquang_H128_w256.webp</t>
  </si>
  <si>
    <t>MNhg2.jpg</t>
  </si>
  <si>
    <t>A011</t>
  </si>
  <si>
    <t>Ms.</t>
  </si>
  <si>
    <t>Trương Thị Ngọc Thảo</t>
  </si>
  <si>
    <t>Thao_W128.webp</t>
  </si>
  <si>
    <t>Ban Tài chính CLB - Điều hành</t>
  </si>
  <si>
    <t>CÔNG TY TNHH TV KT MÔI TRƯỜNG TÂM NGUYÊN</t>
  </si>
  <si>
    <t>MÔI TRƯỜNG TÂM NGUYÊN</t>
  </si>
  <si>
    <t>0318370683</t>
  </si>
  <si>
    <t>20240403_TAM%20NGUYEN%20LOGO-01.jpg</t>
  </si>
  <si>
    <t>78/6B Nguyễn Văn Săng, Phường Tân Sơn Nhì, TP. Hồ Chí Minh</t>
  </si>
  <si>
    <t>VPĐD: 260/26 Nguyễn Thái Bình, Phường Bảy Hiền, TP. Hồ Chí Minh</t>
  </si>
  <si>
    <t>0913118612</t>
  </si>
  <si>
    <t>truongngocthao84@yahoo.com</t>
  </si>
  <si>
    <t>84913118612</t>
  </si>
  <si>
    <t>https://www.moitruongtamnguyen.com</t>
  </si>
  <si>
    <t>Quan trắc môi trường định kỳ</t>
  </si>
  <si>
    <t>Thiết kế &amp; vận hành HT xử lý nước thải</t>
  </si>
  <si>
    <t>Tư vấn hồ sơ pháp lý môi trường</t>
  </si>
  <si>
    <t>Thu gom &amp; xử lý chất thải công nghiệp</t>
  </si>
  <si>
    <t>Hệ thống nước cấp – RO/UF</t>
  </si>
  <si>
    <t>Xử lý khí thải – mùi công nghiệp</t>
  </si>
  <si>
    <t>Cải tạo – nâng cấp hệ thống nước thải</t>
  </si>
  <si>
    <t>Đào tạo vận hành &amp; ISO 14001</t>
  </si>
  <si>
    <t>Giải pháp đúng ngay từ đầu - Vận hành ổn định về sau</t>
  </si>
  <si>
    <t>20240403_TAM%20NGUYEN%20LOGO-01_w256.webp</t>
  </si>
  <si>
    <t>A036</t>
  </si>
  <si>
    <t>Trần Bá Điền</t>
  </si>
  <si>
    <t>Dien_W128.webp</t>
  </si>
  <si>
    <t>Ban VHTT &amp; Từ thiện CLB - Giám đốc</t>
  </si>
  <si>
    <t>CÔNG TY CỔ PHẦN KỸ THUẬT BK GREEN</t>
  </si>
  <si>
    <t>BK Green</t>
  </si>
  <si>
    <t>0319118687</t>
  </si>
  <si>
    <t>Nền trắng - Vuông trọn vẹn trong vòng tròn.png</t>
  </si>
  <si>
    <t>65 Lê Trung Nghĩa, P. Bảy Hiền, TP. Hồ Chí Minh</t>
  </si>
  <si>
    <t>57B Lê Trọng Tấn, P. Tây Thạnh, TP. Hồ Chí Minh</t>
  </si>
  <si>
    <t>0931252511</t>
  </si>
  <si>
    <t>dien.tran@bkgreen.vn</t>
  </si>
  <si>
    <t>84931252511</t>
  </si>
  <si>
    <t>https://bkreen.vn</t>
  </si>
  <si>
    <t>Giải pháp xử lý nước &amp; không khí</t>
  </si>
  <si>
    <t>Hệ thống xử lý nước thải, nước cấp</t>
  </si>
  <si>
    <t>Hệ thống xử lý không khí</t>
  </si>
  <si>
    <t>Phân phối thiết bị: Máy Bơm, Van,  HVA</t>
  </si>
  <si>
    <t>Tư vấn và cung cấp dịch vụ môi trường</t>
  </si>
  <si>
    <t>Gia công cơ khí</t>
  </si>
  <si>
    <t>Bảo trì vệ sinh công nghiệp</t>
  </si>
  <si>
    <t>Hệ thống tự động hóa, SCADA, IoT</t>
  </si>
  <si>
    <t>CREATE REAL VALUES</t>
  </si>
  <si>
    <r>
      <rPr>
        <sz val="10"/>
        <rFont val="Arial"/>
      </rPr>
      <t xml:space="preserve">CÔNG TY CỔ PHẦN KỸ THUẬT BK GREEN - HỆ THỐNG GIẢI PHÁP NƯỚC TOÀN DIỆN
1. GIỚI THIỆU &amp; NĂNG LỰC CỐT LÕI:
• BK Green chuyên về xây dựng công trình cấp, thoát nước và xử lý nước thải với phương châm “Tạo ra giá trị thực sự”.
• Đội ngũ: Dẫn dắt bởi CEO Trần Bá Điền (&gt;15 năm kinh nghiệm) cùng các kỹ sư trẻ, nhiệt huyết, có chứng chỉ quốc tế.
• Tiêu chuẩn: Tuân thủ ISO 9001:2015, quy trình kiểm soát 3 cấp độ, ứng dụng công nghệ SCADA/IoT và giải pháp tiết kiệm năng lượng.
• Cơ sở vật chất: Trụ sở tại TP.HCM, xưởng sản xuất thiết bị chuyên nghiệp và phòng thí nghiệm kiểm tra nước hiện đại.
2. DỊCH VỤ &amp; QUY TRÌNH DỰ ÁN:
• Dịch vụ chủ lực: Xử lý nước thải (Tòa nhà/KCN); Hệ thống lọc RO công nghiệp; Vận hành &amp; Bảo trì hệ thống; Tủ điện &amp; SCADA; Thiết bị PCCC; Tư vấn &amp; Thiết kế kỹ thuật.
• Quy trình 4 bước chuyên nghiệp: (1) Khảo sát &amp; Đánh giá hiện trạng - (2) Thiết kế hệ thống tối ưu - (3) Thi công &amp; Lắp đặt chuẩn kỹ thuật - (4) Vận hành &amp; Bảo trì định kỳ 24/7.
3. DANH MỤC SẢN PHẨM &amp; LIÊN HỆ:
• Thiết bị chính: Hệ thống RO BK-RO2000 (2000L/h, thu hồi 75%); Máy bơm công nghiệp &amp; bơm nước thải (50-500 m³/h).
• Phụ kiện: Van điều áp BK-V50 (0-16 bar), van chống rò rỉ (0-25 bar), thiết bị PCCC đạt chuẩn kiểm định.
• Địa chỉ: 517B Lê Trọng Tấn, P. Tây Thạnh, Q. Tân Phú, TP. HCM.
• Hotline: 0931 252 511 | Email: dien.tran@bkgreen.vn | Website: </t>
    </r>
    <r>
      <rPr>
        <u/>
        <sz val="10"/>
        <rFont val="Arial"/>
      </rPr>
      <t>bkgreen.vn</t>
    </r>
  </si>
  <si>
    <t>badien.tran@gmail.com</t>
  </si>
  <si>
    <t>Nền trắng - Vuông trọn vẹn trong vòng tròn_w256.webp</t>
  </si>
  <si>
    <t>A013</t>
  </si>
  <si>
    <t>A065</t>
  </si>
  <si>
    <t>Trương Quang Hương</t>
  </si>
  <si>
    <t>TruongQuangHuong_w256.webp</t>
  </si>
  <si>
    <t>Phó chủ tịch CLB - CT HĐTV &amp; Giám đốc</t>
  </si>
  <si>
    <t>CÔNG TY TNHH THƯƠNG MẠI SẢN XUẤT QUANG NÔNG</t>
  </si>
  <si>
    <t>Quang Nông</t>
  </si>
  <si>
    <t>0302322821</t>
  </si>
  <si>
    <t>quangnong.jpeg</t>
  </si>
  <si>
    <t>198 Nguyễn Hồng Đào, Phường Tân Bình, TP. Hồ Chí Minh</t>
  </si>
  <si>
    <t>0918200299</t>
  </si>
  <si>
    <t>truongquanghuong@gmail.com</t>
  </si>
  <si>
    <t>84918200299</t>
  </si>
  <si>
    <t>http://quangnong.com</t>
  </si>
  <si>
    <t>Phân bón lá cao cấp ARROW</t>
  </si>
  <si>
    <t>Phân bón đa vi lượng &amp; Hữu cơ</t>
  </si>
  <si>
    <t>Hợp chất điều hòa sinh trưởng</t>
  </si>
  <si>
    <t>Giải pháp dinh dưỡng cây trồng</t>
  </si>
  <si>
    <t>Tư vấn kỹ thuật nông nghiệp</t>
  </si>
  <si>
    <t>Phân phối vật tư nông nghiệp</t>
  </si>
  <si>
    <t>Sản xuất phân bón chuyên biệt</t>
  </si>
  <si>
    <t>Xuất nhập khẩu vật tư nông nghiệp</t>
  </si>
  <si>
    <t>XANH CÂY TỐT QUẢ - HỂ HẢ NHÀ NÔNG</t>
  </si>
  <si>
    <t>Sinh ngày 01/05/1965 tại Mai Xá Chánh, Gio Mai, Gio Linh (nay là xã Cửa Việt), Quảng Trị, ông Trương Quang Hương là một trong những doanh nhân tiêu biểu của ngành nông nghiệp Việt Nam, gắn bó bền bỉ với lĩnh vực phân bón và phát triển cây trồng suốt hơn ba thập kỷ.
Tốt nghiệp Đại học Nông Lâm TP. Hồ Chí Minh năm 1990, ông có gần 10 năm làm việc tại các doanh nghiệp trong và ngoài nước về nông nghiệp. Từ nền tảng đó, năm 2001, ông cùng hai người bạn sáng lập Công ty TM SX Quang Nông, kiên định theo đuổi triết lý phát triển nông nghiệp bền vững.
Quang Nông chuyên sản xuất – kinh doanh phân bón lá với định hướng “phục vụ toàn bộ cuộc sống cây trồng”. Riêng trong lĩnh vực phân bón lá, thương hiệu Quang Nông hiện được đánh giá thuộc TOP 10 Việt Nam, là đối tác tin cậy của đông đảo nhà nông trên cả nước.
Hiện nay, Quang Nông có nhà máy đặt tại KCN Lê Minh Xuân và văn phòng tại 198 Nguyễn Hồng Đào, Quận Tân Bình, TP. Hồ Chí Minh, không ngừng đầu tư công nghệ, nâng cao chất lượng sản phẩm, dịch vụ và xuất khẩu qua Lào, Campuchia...
Bên cạnh hoạt động sản xuất – kinh doanh, ông Trương Quang Hương còn tích cực tham gia các hoạt động cộng đồng – thiện nguyện hướng về quê hương Quảng Trị. Ông hiện giữ các vai trò:
- Chủ tịch Hội Golf Quảng Trị tại Tp. HCM
- Phó chủ tịch phụ trách Tài chính - CLB Doanh nhân Quảng Trị Miền Nam
- Phó chủ nhiệm CLB Nghĩa Tình Quảng Trị
Với tâm huyết dành cho nông nghiệp và tinh thần trách nhiệm xã hội sâu sắc, Trương Quang Hương là hình ảnh tiêu biểu của người doanh nhân bản lĩnh – nhân ái – luôn hướng về cội nguồn.
(Ban truyền thông CLB DNQT)</t>
  </si>
  <si>
    <r>
      <rPr>
        <sz val="10"/>
        <rFont val="Arial"/>
      </rPr>
      <t xml:space="preserve">CÔNG TY TNHH THƯƠNG MẠI SẢN XUẤT QUANG NÔNG
"Xanh cây tốt quả – Hể hả nhà nông"
GIỚI THIỆU CHUNG
Được thành lập từ năm 2001, Công ty TNHH TM SX Quang Nông là đơn vị có hơn 25 năm kinh nghiệm trong lĩnh vực sản xuất vật tư nông nghiệp tại Việt Nam. Với thương hiệu phân bón ARROW cùng biểu tượng "Bác Ba Rô" gần gũi, Quang Nông đã trở thành người bạn đồng hành tin cậy của bà con nông dân. Chúng tôi cam kết mang đến những sản phẩm chất lượng cao, giúp tối ưu hóa năng suất cây trồng và đem lại sự thịnh vượng cho nền nông nghiệp nước nhà.
NĂNG LỰC SẢN XUẤT &amp; SẢN PHẨM
Quang Nông chuyên nghiên cứu và sản xuất các loại phân đa vi lượng cao cấp, phân hữu cơ và các hợp chất điều hòa sinh trưởng. Hệ thống sản phẩm ARROW rất đa dạng, được thiết kế chuyên biệt cho từng loại cây trồng như: Lúa, Cây ăn trái (Sầu riêng, Thanh long, Xoài, Cam quýt), Cây công nghiệp (Cà phê, Tiêu, Điều, Cao su) và các loại rau màu. Quy trình sản xuất hiện đại cùng đội ngũ kỹ thuật tận tâm giúp sản phẩm luôn đạt tiêu chuẩn cao về độ tinh khiết và hiệu quả sử dụng.
GIÁ TRỊ VÀ HẬU MÃI
Không chỉ cung cấp vật tư, Quang Nông còn chú trọng việc chuyển giao kỹ thuật thông qua các bộ sách hướng dẫn chi tiết và đường dây hỗ trợ 24/24. Chúng tôi luôn nỗ lực duy trì sự hài hòa giữa chất lượng sản phẩm và giá cả hợp lý, đảm bảo tiêu chí dễ sử dụng và an toàn cho môi trường, giúp bà con nông dân "Xanh cây - Tốt quả".
THÔNG TIN LIÊN HỆ
Trụ sở chính: 198 Nguyễn Hồng Đào, Phường 14, Quận Tân Bình, TP. HCM.
Nhà máy sản xuất: Lô J12D, Đường số 10, KCN Lê Minh Xuân, Huyện Bình Chánh, TP. HCM.
Hotline: 028 3766 3485 – 0913 911 151
Email: quangnong427@gmail.com | Website: </t>
    </r>
    <r>
      <rPr>
        <u/>
        <sz val="10"/>
        <rFont val="Arial"/>
      </rPr>
      <t>quangnong.com</t>
    </r>
  </si>
  <si>
    <t>quangnong_w256.webp</t>
  </si>
  <si>
    <t>TruongQuangHuong.jpg</t>
  </si>
  <si>
    <t>A014</t>
  </si>
  <si>
    <t>A039</t>
  </si>
  <si>
    <t>Lê Minh Sang</t>
  </si>
  <si>
    <t>3NzKn_w256.webp</t>
  </si>
  <si>
    <t>Ban Truyền thông CLB - Điều hành Dự án</t>
  </si>
  <si>
    <t>CÔNG TY TNHH THƯƠNG MẠI DỊCH VỤ XÂY DỰNG KIM HUÊ</t>
  </si>
  <si>
    <t>Kim Huê</t>
  </si>
  <si>
    <t>kimhue.jpg</t>
  </si>
  <si>
    <t>36 Tân Thắng, P. Tân Sơn Nhì, TP. Hồ Chí Minh</t>
  </si>
  <si>
    <t>195/10 Đường 28, P. An Nhơn, TP. Hồ Chí Minh</t>
  </si>
  <si>
    <t>0935868239</t>
  </si>
  <si>
    <t>leminhsangqt@gmail.com</t>
  </si>
  <si>
    <t>84935868239</t>
  </si>
  <si>
    <t>https://fb.com/sang.le.minh.1983</t>
  </si>
  <si>
    <t>Thiết kế &amp; Thi công Quảng cáo</t>
  </si>
  <si>
    <t>Mặt dựng Alu &amp; Chữ nổi Mica</t>
  </si>
  <si>
    <t>Trang trí nội thất &amp; Ngoại thất</t>
  </si>
  <si>
    <t>Xây dựng nhà &amp; Công trình dân dụng</t>
  </si>
  <si>
    <t>Lắp đặt hệ thống điện nước</t>
  </si>
  <si>
    <t>In ấn đa chất liệu &amp; Vật tư quảng cáo</t>
  </si>
  <si>
    <t>Cung cấp vật liệu xây dựng</t>
  </si>
  <si>
    <t>Hoàn thiện công trình chuyên dụng</t>
  </si>
  <si>
    <t>KIẾN TẠO NIỀM TIN – XÂY DỰNG THƯƠNG HIỆU</t>
  </si>
  <si>
    <t>CÔNG TY TNHH THƯƠNG MẠI DỊCH VỤ XÂY DỰNG KIM HUÊ
"Nâng tầm thương hiệu – Kiến tạo không gian"
GIỚI THIỆU CHUNG
Công ty Kim Huê là đơn vị uy tín chuyên cung cấp các giải pháp toàn diện về thiết kế, thi công quảng cáo và nội thất xây dựng tại TP. Hồ Chí Minh. Với nền tảng vững chắc từ các ngành nghề bổ trợ như lắp đặt hệ thống điện nước, hoàn thiện công trình và bán buôn vật liệu xây dựng, Kim Huê tự hào mang đến cho khách hàng những sản phẩm không chỉ đẹp về thẩm mỹ mà còn bền vững về kết cấu kỹ thuật. Chúng tôi luôn lấy sự hài lòng của khách hàng làm thước đo cho sự thành công của mỗi dự án.
NĂNG LỰC &amp; THẾ MẠNH
Thế mạnh cốt lõi của Kim Huê nằm ở lĩnh vực quảng cáo và trang trí nội ngoại thất. Chúng tôi chuyên sâu trong việc thi công mặt dựng Alu chuyên nghiệp, sản xuất chữ nổi Mica tinh xảo và in ấn trên mọi chất liệu với công nghệ hiện đại. Bên cạnh đó, với đội ngũ kỹ thuật tay nghề cao, Kim Huê còn thực hiện các gói thầu xây dựng dân dụng, lắp đặt thiết bị viễn thông và xử lý hạ tầng kỹ thuật, đảm bảo quy trình thi công an toàn, đúng tiến độ và tối ưu chi phí.
CAM KẾT DỊCH VỤ
Sáng tạo chuyên biệt: Thiết kế độc bản, làm nổi bật bản sắc thương hiệu của khách hàng.
Chất lượng bền vững: Sử dụng vật liệu cao cấp, đạt chuẩn kỹ thuật xây dựng chuyên dụng.
Giải pháp trọn gói: Từ khâu chuẩn bị mặt bằng, lắp đặt điện nước đến hoàn thiện nội thất và biển bảng quảng cáo.
THÔNG TIN LIÊN HỆ
Văn phòng: 36 Tân Thắng, Phường Tân Sơn Nhì, TP. HCM.
Chi nhánh: 195/10 Đường 28, Phường An Nhơn, TP. HCM.
Hotline: 0935 868 239 (Mr. Lê Minh Sang)
Email: leminhsangqt@gmail.com</t>
  </si>
  <si>
    <t>kimhue_w256.webp</t>
  </si>
  <si>
    <t>3NzKn.jpg</t>
  </si>
  <si>
    <t>A015</t>
  </si>
  <si>
    <t>Tống Quang Phú</t>
  </si>
  <si>
    <t>PT_w256.webp</t>
  </si>
  <si>
    <t>Ban Truyền thông CLB - Giám đốc</t>
  </si>
  <si>
    <t>CÔNG TY TNHH SỰ KIỆN VÀ TRUYỀN THÔNG SOL</t>
  </si>
  <si>
    <t xml:space="preserve">SOL </t>
  </si>
  <si>
    <t>0319143482 / 0315637716</t>
  </si>
  <si>
    <t>c620dacd-ed7b-43c7-ae36-745f273e4def.jpg</t>
  </si>
  <si>
    <t>108 Đường Số 6, KDC Cityland Park Hills, Phường Gò Vấp, TP. Hồ Chí Minh</t>
  </si>
  <si>
    <t>https://maps.app.goo.gl/9ACTQuiBqkRqDt617</t>
  </si>
  <si>
    <t>0902799535</t>
  </si>
  <si>
    <t>quangphu86@gmail.com</t>
  </si>
  <si>
    <t>84902799535</t>
  </si>
  <si>
    <t>https://xesolutions.vn</t>
  </si>
  <si>
    <t>https://fb.com/phu.tongquang</t>
  </si>
  <si>
    <t>Tổ Chức Sự Kiện - Thiết Kế - Truyền Thông</t>
  </si>
  <si>
    <t>PR &amp; Quảng Cáo Sự Kiện, Sản Phẩm</t>
  </si>
  <si>
    <t>KOL/KOC Influencer, Activation</t>
  </si>
  <si>
    <t>Sản Xuất Quà Tặng &amp; Phụ Kiện QC</t>
  </si>
  <si>
    <t>Các Hoạt Động Truyền Thông Số</t>
  </si>
  <si>
    <t>Digital Marketing, Chuyên Trang Về Xe</t>
  </si>
  <si>
    <t>Anh Tống Quang Phú (Mr. Phú Tống) hiện là Giám đốc / CEO kiêm Người đại diện pháp luật của Công ty Cổ phần Giải Pháp Xe (Xe Solutions Agency).
Anh là thành viên đầu tiên của Câu lạc bộ Doanh nghiệp ô tô TP. Hồ Chí Minh (Hội Ô tô và thiết bị động lực TP.HCM), trực tiếp phụ trách mảng truyền thông, tổ chức sự kiện và hỗ trợ chiến lược marketing cho toàn bộ các thành viên CLB.
Anh Tống Quang Phú là đầu mối liên hệ chính của công ty trong mọi hoạt động đối ngoại, hợp tác với các thương hiệu lớn trong ngành ô tô – xe máy (Eneos, IRC Việt Nam, 3M Việt Nam, True Moto Care…).
Anh dẫn dắt định hướng phát triển toàn bộ Xe Solutions – agency marketing số chuyên sâu nhất cho lĩnh vực ô tô và xe máy tại Việt Nam.
Liên hệ trực tiếp:
Điện thoại: 0902 799 535
Email: ceo@xesolutions.vn</t>
  </si>
  <si>
    <t>Công ty Cổ phần Giải Pháp Xe (tên tiếng Anh: Xe Solutions Agency / Xe Solutions JSC) là agency chuyên cung cấp giải pháp Marketing số toàn diện tại Việt Nam, tập trung mạnh vào ngành ô tô và xe máy.
Thành lập ngày 18/04/2019, mã số thuế 0315637716.
Trụ sở chính: 108 đường số 6, KDC Cityland Park Hills, Phường 10, Quận Gò Vấp, TP. Hồ Chí Minh.
Slogan: “Giải pháp Marketing số toàn diện”.
Các dịch vụ chính:
• Digital Marketing &amp; SEO chuyên ngành xe
• PR &amp; Quảng cáo truyền thông
• KOL/KOC/Influencer ô tô – xe máy
• Sản xuất quà tặng quảng cáo in logo/slogan
• Tổ chức sự kiện &amp; Activation Campaign
Công ty đã thực hiện nhiều dự án lớn như:
• Uni Care Day (chăm sóc xe máy miễn phí cho sinh viên)
• Các chương trình hợp tác với IRC Việt Nam, Eneos, 3M Việt Nam
• Đại tiệc Tân niên và nhiều activation cho các thương hiệu ô tô – xe máy.
Website chính thức: https://xesolutions.vn/vi
Email: media@xesolutions.vn
Hotline: 0902 799 535 (Anh Phú) – 0938 244 247 (Mr. Văn)
Xe Solutions đang hướng tới mục tiêu trở thành agency marketing số hàng đầu chuyên ngành ô tô – xe máy tại Việt Nam.</t>
  </si>
  <si>
    <t>c620dacd-ed7b-43c7-ae36-745f273e4def_w256.webp</t>
  </si>
  <si>
    <t>PT.png</t>
  </si>
  <si>
    <t>A016</t>
  </si>
  <si>
    <t>A079</t>
  </si>
  <si>
    <t>Nguyễn Thanh Bình</t>
  </si>
  <si>
    <t>image (1)_w256.webp</t>
  </si>
  <si>
    <t>Ban Hội viên CLB - Chủ tịch HĐTV</t>
  </si>
  <si>
    <t>CÔNG TY CỔ PHẦN PHÁT TRIỂN CÔNG NGHỆ &amp; DỊCH VỤ SÁNG TẠO (SATACO)</t>
  </si>
  <si>
    <t>SATACO</t>
  </si>
  <si>
    <t>logo (1).png</t>
  </si>
  <si>
    <t>77 Đường số 5, Phường Gò Vấp, TP. Hồ Chí Minh</t>
  </si>
  <si>
    <t>https://maps.app.goo.gl/etRqAEWPQswJhDUk8</t>
  </si>
  <si>
    <t>0913731273</t>
  </si>
  <si>
    <t>binhsata@gmail.com</t>
  </si>
  <si>
    <t>0913896484</t>
  </si>
  <si>
    <t>84913731273</t>
  </si>
  <si>
    <t>http://www.sataco.com</t>
  </si>
  <si>
    <t>Thiết kế Website chuẩn SEO</t>
  </si>
  <si>
    <t>Phần mềm doanh nghiệp (ERP/CRM)</t>
  </si>
  <si>
    <t>Quản lý Nhân sự &amp; Chấm công (SATA-HRM)</t>
  </si>
  <si>
    <t>Hosting Windows &amp; Đăng ký Tên miền</t>
  </si>
  <si>
    <t>Marketing online &amp; Giải pháp E-commerce</t>
  </si>
  <si>
    <t>Quản lý Tài nguyên &amp; Đất đai (GIS/GPS)</t>
  </si>
  <si>
    <t>Bảo trì hệ thống mạng LAN/WAN</t>
  </si>
  <si>
    <t>Tư vấn giải pháp chuyển đổi số</t>
  </si>
  <si>
    <t>SÁNG TẠO GIÁ TRỊ TRƯỜNG TỒN</t>
  </si>
  <si>
    <t>CÔNG TY CỔ PHẦN PHÁT TRIỂN CÔNG NGHỆ &amp; DỊCH VỤ SÁNG TẠO (SATACO)
"Sáng tạo công nghệ – Đồng hành cùng sự thành công của doanh nghiệp"
GIỚI THIỆU CHUNG
Được thành lập từ năm 2004, SATACO là đơn vị uy tín trong lĩnh vực Công nghệ thông tin với hơn 20 năm kinh nghiệm. Chúng tôi tự hào đã triển khai thành công hơn 500 dự án website và 60 hệ thống phần mềm chuyên dụng cho các tổ chức, doanh nghiệp trên toàn quốc. Với đội ngũ nhân sự năng động và chuyên môn vững vàng, SATACO không chỉ cung cấp sản phẩm công nghệ mà còn mang đến những "đứa con tinh thần" kết tinh từ trí tuệ, cam kết hỗ trợ kỹ thuật trọn đời cho mọi khách hàng.
HỆ SINH THÁI DỊCH VỤ
SATACO cung cấp giải pháp chuyển đổi số toàn diện bao gồm:
Thiết kế &amp; Phát triển Web: Chuyên thiết kế website chuẩn SEO, tương thích mọi thiết bị cho đa dạng ngành nghề (Y tế, Du lịch, Bất động sản, Luật...).
Phần mềm quản lý chuyên sâu: Sở hữu hệ thống phần mềm thương hiệu SATA như Quản lý nhân sự (SATA-HRM), Khách hàng (SATA-CRM), Quản lý đất đai (SATA-RLM) và các giải pháp ERP tùy chỉnh.
Hạ tầng mạng &amp; Lưu trữ: Cung cấp tên miền, Hosting Windows chuyên dụng độ ổn định cao và dịch vụ bảo trì hệ thống mạng LAN/WAN chuyên nghiệp.
CAM KẾT GIÁ TRỊ
Chúng tôi quan niệm: "Thành công của khách hàng chính là thành công của SATACO". Do đó, mọi giải pháp đều được tối ưu hóa để tăng hiệu quả vận hành, giảm chi phí đầu tư và đảm bảo dịch vụ hậu mãi chu đáo nhất.
THÔNG TIN LIÊN HỆ
Địa chỉ: 77 Đường số 5, Phường Gò Vấp, TP. Hồ Chí Minh.
Điện thoại: 028 6295 3861 | Email: info@sataco.com
Website: sataco.com</t>
  </si>
  <si>
    <t>logo (1)_w256.webp</t>
  </si>
  <si>
    <t>image (1).jpg</t>
  </si>
  <si>
    <t>A017</t>
  </si>
  <si>
    <t>A058</t>
  </si>
  <si>
    <t>Nguyễn Tuấn Anh</t>
  </si>
  <si>
    <t>NguyenTuanAnh_w256.webp</t>
  </si>
  <si>
    <t>Ban Pháp lý &amp; Đào tạo CLB - Giám đốc</t>
  </si>
  <si>
    <t>VĂN PHÒNG TỔNG ĐẠI LÝ DAI-ICHI LIFE QUẬN 12C</t>
  </si>
  <si>
    <t>Dai-Ichi Life Quận 12C</t>
  </si>
  <si>
    <t>file.jpg</t>
  </si>
  <si>
    <t>183 Trường Chinh, Phường Đông Hưng Thuận, TP HCM</t>
  </si>
  <si>
    <t>0982053385</t>
  </si>
  <si>
    <t>tuananh26spqn@gmail.com</t>
  </si>
  <si>
    <t>84982053385</t>
  </si>
  <si>
    <t>https://dai-ichi-life.com.vn</t>
  </si>
  <si>
    <t>https://fb.com/share/1FctnaMowP/?mibextid=wwXIfr</t>
  </si>
  <si>
    <t>https://www.tiktok.com/@nguyn.tun.anh6009?_r=1&amp;_t=ZS-94dzjeUO1sS</t>
  </si>
  <si>
    <t>Tư vấn Bảo hiểm Nhân thọ</t>
  </si>
  <si>
    <t>Chăm sóc Sức khỏe Toàn cầu</t>
  </si>
  <si>
    <t>Bảo hiểm Điều trị Nội trú</t>
  </si>
  <si>
    <t>Bảo hiểm Điều trị Ngoại trú</t>
  </si>
  <si>
    <t>Chăm sóc Răng chuyên sâu</t>
  </si>
  <si>
    <t>Bảo hiểm Ung thư nâng cao</t>
  </si>
  <si>
    <t>Giải pháp Tài chính Gia đình</t>
  </si>
  <si>
    <t>Bảo lãnh Viện phí Quốc tế</t>
  </si>
  <si>
    <t>GẮN BÓ DÀI LÂU</t>
  </si>
  <si>
    <t>Sinh ra và lớn lên tại Cam Thành, Cam Lộ, Quảng Trị, anh Nguyễn Tuấn Anh (sinh năm 1984) đã sớm nuôi dưỡng khát vọng vươn lên và cống hiến. 
Sau khi tốt nghiệp Trường THPT chuyên Lê Quý Đôn – Quảng Trị, anh theo học chuyên ngành Quản trị Kinh doanh tại Trường ĐH Quy Nhơn và sau đó tiếp tục nâng cao kiến thức với chương trình Sau Đại học tại Đại học Kinh tế TP.HCM. 
Từ năm 2007, Nguyễn Tuấn Anh bắt đầu sự nghiệp tại Công ty TNHH Bảo Hiểm Nhân Thọ Dai-ichi Life Việt Nam, và nhanh chóng khẳng định mình nhờ sự tận tâm, chuyên môn cao và tinh thần trách nhiệm. 
Đến năm 2016, anh chính thức thành lập Tổng Đại Lý Dai-ichi Life Quận 12C tại địa chỉ 183 Trường Chinh, Phường Đông Hưng Thuận, TP.HCM, đánh dấu bước ngoặt lớn trong hành trình gắn bó và phát triển cùng Dai-ichi Life.
Hiện tại văn phòng Tổng Đại Lý Dai-ichi Life Quận 12C của Nguyễn Tuấn Anh cung cấp các sản phẩm &amp; dịch vụ:
- Cung cấp các giải pháp Bảo hiểm nhân thọ, bảo hiểm sức khỏe cao cấp (Việt Nam &amp; toàn cầu) dành cho gia đình
- Cung cấp các giải pháp Bảo hiểm sức khỏe, Bảo hiểm hưu trí, Qũy phúc lợi nhân viên dành cho doanh nghiệp
- Tư vấn đầu tư chứng chỉ Qũy của Công ty Quản lý Qũy Dai-ichi Life Việt Nam (DFVN)
Địa chỉ liên hệ: 183 Trường Chinh, Phường Đông Hưng Thuận, TP HCM
Email: Ntuan.anh@agency.dai-ichi-life.com.VN</t>
  </si>
  <si>
    <t>NGUYỄN TUẤN ANH – GIÁM ĐỐC BAN PHÁP LÝ &amp; ĐÀO TẠO CLBVĂN PHÒNG TỔNG ĐẠI LÝ DAI-ICHI LIFE QUẬN 12GIỚI THIỆU CHUNG
Ông Nguyễn Tuấn Anh hiện đảm nhiệm vai trò Giám đốc Ban Pháp lý &amp; Đào tạo tại Câu lạc bộ, đồng thời là đại diện chuyên môn tại Văn phòng Tổng Đại lý Dai-ichi Life Quận 12. Với nền tảng từ Tập đoàn Dai-ichi Life Nhật Bản – đơn vị có lịch sử từ năm 1902 và tổng tài sản lên đến 446 tỷ đô-la Mỹ – ông Nguyễn Tuấn Anh mang đến các giải pháp bảo vệ tài chính và chăm sóc sức khỏe chuẩn quốc tế cho khách hàng Việt Nam.SẢN PHẨM CHIẾN LƯỢC: CHĂM SÓC SỨC KHỎE TOÀN CẦU 24/7
Ông chuyên tư vấn giải pháp "Bảo hiểm Chăm sóc Sức khỏe Toàn cầu 24/7", giúp khách hàng an tâm tận hưởng cuộc sống với những đặc quyền ưu việt:Quyền lợi bảo vệ: Chi trả lên đến 2 tỷ đồng cho mỗi Bệnh/Thương tật.Phạm vi: Bảo vệ toàn cầu với chi phí hợp lý.Ưu đãi đặc biệt: Chi trả 100% chi phí điều trị Ung thư (bao gồm liệu pháp trúng đích và miễn dịch).Tiện ích: Hỗ trợ bảo lãnh viện phí tại Việt Nam và trên toàn thế giới thông qua ứng dụng Dai-ichi Connect.THÔNG TIN LIÊN HỆĐịa chỉ: Văn phòng Tổng Đại lý Dai-ichi Life Quận 12.Trụ sở chính: Tòa nhà Dai-ichi Life, 149-151 Nguyễn Văn Trỗi, Phường 11, Quận Phú Nhuận, TP. HCM.Website: www.dai-ichi-life.com.vn.</t>
  </si>
  <si>
    <t>file_w256.webp</t>
  </si>
  <si>
    <t>NguyenTuanAnh.jpg</t>
  </si>
  <si>
    <t>A074</t>
  </si>
  <si>
    <t>Nguyễn Ngọc Hưng</t>
  </si>
  <si>
    <t>Screenshot_2025-01-16_124726_-_Nguyen_Hung-removebg-preview_w256.webp</t>
  </si>
  <si>
    <t>Ban Hội viên CLB - Founder &amp; CEO</t>
  </si>
  <si>
    <t>CÔNG TY TNHH HDCCONSULTING</t>
  </si>
  <si>
    <t>HCD Consulting</t>
  </si>
  <si>
    <t>3603987222</t>
  </si>
  <si>
    <t>unnamed.png</t>
  </si>
  <si>
    <t>https://maps.app.goo.gl/hBB69RA579y6bhWX7</t>
  </si>
  <si>
    <t>0766579246</t>
  </si>
  <si>
    <t>https://www.hdc-consulting.com</t>
  </si>
  <si>
    <t>https://fb.com/Hunggarment</t>
  </si>
  <si>
    <t>Tư vấn Vận hành Doanh nghiệp</t>
  </si>
  <si>
    <t>Cải tiến Năng suất &amp; Chất lượng</t>
  </si>
  <si>
    <t>Triển khai mô hình LEAN &amp; 6SIGMA</t>
  </si>
  <si>
    <t>Quản trị bảo trì toàn diện (TPM)</t>
  </si>
  <si>
    <t>Đánh giá năng lực OPEX quốc tế</t>
  </si>
  <si>
    <t>Đào tạo Kỹ thuật Hiện trường</t>
  </si>
  <si>
    <t>Tư vấn Tối ưu hóa nguồn lực</t>
  </si>
  <si>
    <t>Khảo sát &amp; Định vị năng lực vận hành</t>
  </si>
  <si>
    <t>CHUYÊN GIA CẢI TIẾN – KIẾN TẠO HIỆU QUẢ</t>
  </si>
  <si>
    <t>HDC CONSULTING – ĐƠN VỊ TƯ VẤN VẬN HÀNH &amp; CẢI TIẾN DOANH NGHIỆP TOÀN DIỆN "Kiến tạo năng lực vận hành đẳng cấp quốc tế" GIỚI THIỆU CHUNG
HDC Consulting là tổ chức tư vấn chuyên sâu trong lĩnh vực tối ưu hóa vận hành và nâng cao năng lực cạnh tranh cho doanh nghiệp. Với đội ngũ chuyên gia dày dặn kinh nghiệm thực chiến, chúng tôi đồng hành cùng khách hàng trong việc xây dựng hệ thống quản trị hiện đại, linh hoạt và bền vững. HDC Consulting tự hào là cầu nối giúp doanh nghiệp Việt tiếp cận và áp dụng thành công các tiêu chuẩn vận hành khắt khe nhất của thế giới.LĨNH VỰC THẾ MẠNHHDC Consulting tập trung vào các trụ cột cốt lõi nhằm giải quyết bài toán hiệu quả cho doanh nghiệp:Tư vấn vận hành doanh nghiệp: Xây dựng cấu trúc và quy trình quản trị tối ưu.Đào tạo &amp; Triển khai cải tiến hiện trường: Trực tiếp hướng dẫn cải tiến về năng suất và chất lượng theo các mô hình tiên tiến như LEAN, 6SIGMA và TPM (Quản trị bảo trì năng suất toàn diện).Đánh giá năng lực vận hành: Thực hiện khảo sát và đánh giá hệ thống theo tiêu chuẩn quốc tế OPEX (Operational Excellence) và LEAN.GIÁ TRỊ MANG LẠI
Chúng tôi tập trung vào kết quả thực tế (Result-oriented) thông qua việc đào tạo và triển khai thực địa. Mọi giải pháp của HDC Consulting đều được tùy chỉnh để phù hợp với đặc thù sản xuất, giúp doanh nghiệp nhận diện lỗ hổng, giảm thiểu lãng phí và gia tăng lợi nhuận bền vững.THÔNG TIN LIÊN HỆVP Đại diện: 91/1 Khu phố Bình Dương, Phường Long Bình Tân, TP. Biên Hòa, Đồng Nai.VP TP. HCM: Tòa nhà Sadoreal, Số 10 Lương Định Của, Phường An Khánh, TP. Thủ Đức, TP. HCM.Email: hungnguyen@hdc-consulting.com</t>
  </si>
  <si>
    <t>unnamed_w256.webp</t>
  </si>
  <si>
    <t>Screenshot_2025-01-16_124726_-_Nguyen_Hung-removebg-preview.png</t>
  </si>
  <si>
    <t>A019</t>
  </si>
  <si>
    <t>Nguyễn Thị Thanh Thuỷ</t>
  </si>
  <si>
    <t>de5c886f-084d-40b4-af32-99bddccd482f-removebg-preview_w256.webp</t>
  </si>
  <si>
    <t>Ban Giao Thương CLB - CEO &amp; FOUNDER</t>
  </si>
  <si>
    <t>CÔNG TY TNHH TƯ VẤN KD DỊCH VỤ NEW OCEAN WAVE VIET NAM</t>
  </si>
  <si>
    <t>NEW OCEAN WAVE VN</t>
  </si>
  <si>
    <t>0315573903</t>
  </si>
  <si>
    <t>logo2.png</t>
  </si>
  <si>
    <t>11A đường 38, KP.23, P. Thủ Đức, TP. Hồ Chí Minh</t>
  </si>
  <si>
    <t>https://maps.app.goo.gl/CnfuhSaRJGz7L8iB9</t>
  </si>
  <si>
    <t>35/7 Đường 59, KP.16, P. An Khánh, TP. Hồ Chí Minh</t>
  </si>
  <si>
    <t>https://maps.app.goo.gl/SErDof5bbKJFHsCw7</t>
  </si>
  <si>
    <t>0973939111</t>
  </si>
  <si>
    <t>info@newoceanwave.com.vn</t>
  </si>
  <si>
    <t>84973939111</t>
  </si>
  <si>
    <t>https://www.facebook.com/messages/t/104537217700769/</t>
  </si>
  <si>
    <t>https://newoceanwave.com.vn</t>
  </si>
  <si>
    <t>https://www.tiktok.com/@thuynguyen0324</t>
  </si>
  <si>
    <t>Rượu Đông Trùng Hạ Thảo Mộc Thủy</t>
  </si>
  <si>
    <t>Nguyên liệu Đông Dược</t>
  </si>
  <si>
    <t>Nấm Đông Trùng Hạ Thảo (tươi &amp; khô)</t>
  </si>
  <si>
    <t>Mật Ong Rừng, Serum Dưỡng Da</t>
  </si>
  <si>
    <t>Rượu Sake &amp; Vang Nhật, Bò Wagyu Úc</t>
  </si>
  <si>
    <t>Set Quà Tặng, Lễ, Tết</t>
  </si>
  <si>
    <t>CHO SỨC KHỎE TỐT HƠN MỖI NGÀY</t>
  </si>
  <si>
    <t>New Ocean Wave Vietnam
New Ocean Wave Vietnam được thành lập từ tháng 03/2019. Công ty được thành lập với một chủ đích và mong muốn sẽ giới thiệu và cung ứng vào cuộc sống hàng ngày cho người dân Việt Nam và Quốc tế những sản phẩm đồ uống (có cồn và không cồn) và các thực phẩm có lợi cho sức khỏe. 
Công ty tập trung nghiên cứu để sản xuất và nhập khẩu các sản phẩm có chất lượng cao, đóng góp nhanh chóng vào cải thiện sức khoẻ mỗi ngày. Đặc biệt công ty ưu tiên sử dụng nguyên vật liệu có nguồn gốc tự nhiên, từ thiên nhiên; nói không với hoá chất và các nguyên vật liệu không phải từ thiên nhiên. Vệ sinh An toàn Thực phẩm là yếu tố tiên quyết tạo nên giá trị sản phẩm và luôn cao hơn nhiều tiêu chuẩn trong nước, hướng tới tiêu chuẩn tầm quốc tế. Các sản phẩm luôn được đăng kí thương hiệu và có đầy đủ giấy phép công bố sản phẩm của cơ quan chức năng khi lưu thông trên thị trường cho hàng sản xuất bởi công ty và cả hàng nhập khẩu. 
Với mong muốn áp dụng nhiều công nghệ, sáng tạo và tiêu chuẩn kỹ thuật tiên tiến của thế giới trong chế biến đồ uống và thực phẩm vào việc khai thác nguồn nguyên vật liệu nông nghiệp dồi dào, phong phú tại Việt Nam, công ty ấp ủ sẽ tạo ra thêm những thương hiệu có giá trị mang nguồn gốc Việt tốt cho con người Việt Nam và vươn tầm thế giới. Song song, việc chia sẻ thông tin, kiến thức và kinh nghiệm về rèn luyện bảo vệ sức khoẻ cho người tiêu dùng cũng sẽ là nhiệm vụ xuyên suốt của công ty và đội ngũ cán bộ công nhân viên nhằm góp phần nâng cao hiểu biết và giúp đỡ cộng đồng để có sức khoẻ tốt hơn mỗi ngày. 
Các sản phẩm của công ty đã và đang được sử dụng rộng rãi với nhiều phản hồi rất tích cực và đạt tỉ lệ người dùng trung thành rất cao. Công ty đang từng bước giới thiệu ra nhiều tỉnh thành trên cả nước và mong muốn nhận được thêm nhiều sự cộng tác từ các Anh chị em đại lý, nhà phân phối đang có mặt trên thị trường hoặc có mong muốn cùng cộng tác để phát triển mạng lưới phân phối trong và ngoài nước. 
Với tầm nhìn và mục tiêu lâu dài để "Cho sức khỏe tốt hơn mỗi ngày“, Công ty chúc khách hàng và đối tác những trải nghiệm thật tích cực khi đến với với New Ocean Wave Việt Nam và các thương hiệu hiện hữu nổi bật là Mộc Thuỷ Tửu và Mộc Thuỷ Mật. Công ty chân thành cảm ơn sự tin tưởng và ủng hộ nhiệt tình của tất cả các anh chị em khách hàng và đối tác trong thời gian qua và mong mỗi ngày sẽ được tiếp tục đồng hành vui vẻ, chặt chẽ hơn nữa trên nền các sản phẩm hiện hữu và nhiều sản phẩm chất lượng cho sức khỏe mới sẽ được công ty tiếp tục giới thiệu, cung ứng cho các nhu cầu sức khoẻ của cộng đồng người Việt Nam và Quốc tế !
XIN CẢM ƠN!</t>
  </si>
  <si>
    <t>logo2_w256.webp</t>
  </si>
  <si>
    <t>de5c886f-084d-40b4-af32-99bddccd482f-removebg-preview.png</t>
  </si>
  <si>
    <t>A020</t>
  </si>
  <si>
    <t>Nguyễn Ngọc Tý</t>
  </si>
  <si>
    <t>Ty_W128.webp</t>
  </si>
  <si>
    <t>Giám đốc điều hành</t>
  </si>
  <si>
    <t>CÔNG TY TNHH THỜI TRANG NÓN SƠN</t>
  </si>
  <si>
    <t>Nón Sơn</t>
  </si>
  <si>
    <t>0304246816</t>
  </si>
  <si>
    <t>b9c9377e932a972ef1eb6dcebb36c796.jpg</t>
  </si>
  <si>
    <t>Số 199 Hai Bà Trưng, Phường Xuân Hòa, Thành phố Hồ Chí Minh</t>
  </si>
  <si>
    <t>0903682836</t>
  </si>
  <si>
    <t>ngocsi.nguyen79@gmail.com</t>
  </si>
  <si>
    <t>84903682836</t>
  </si>
  <si>
    <t>https://nonson.vn</t>
  </si>
  <si>
    <t>Nón bảo hiểm đạt chuẩn</t>
  </si>
  <si>
    <t>Nón kết (Lưỡi trai) cao cấp</t>
  </si>
  <si>
    <t>Nón vành thời trang</t>
  </si>
  <si>
    <t>Nón đan tay thủ công</t>
  </si>
  <si>
    <t>Nón da &amp; Nón Phớt</t>
  </si>
  <si>
    <t>Nón Snapback &amp; Trẻ em</t>
  </si>
  <si>
    <t>Phụ kiện thời trang</t>
  </si>
  <si>
    <t>Hệ thống bán lẻ toàn quốc</t>
  </si>
  <si>
    <t>Chất lượng - Đẳng cấp - Đam mê</t>
  </si>
  <si>
    <t>Anh Nguyễn Ngọc Tý sinh năm 1968 ở làng Trà Trì, Hải Hưng, Hải Lăng, Quảng Trị. Những ngày đầu vào TP. Hồ Chí Minh, vì chưa có nhiều mối quan hệ nên anh gặp rất nhiều khó khăn, làm nhiều công việc để có thể tồn tại ở mảnh đất mới.
Năm 1994, anh Tý lập gia đình và mở một cửa hàng kinh doanh quần áo cao cấp, chuyên hàng xách tay từ nước ngoài tại TP. Hồ Chí Minh. Đây cũng là thời điểm mà cơ duyên đưa anh gặp gỡ với anh Trần Anh Sơn - người sáng lập thương hiệu Nón Sơn.
Sau một thời gian thành lập Công ty TNHH Thời trang Nón Sơn, nhà sáng lập thương hiệu Trần Anh Sơn ngỏ lời mời anh Tý về cùng tham gia điều hành công ty. Năm 1998, anh Tý nhận lời bằng cái bắt tay cam kết cùng nhau đưa Nón Sơn trở thành đơn vị đầu tiên định hình thị trường chuyên về mũ, nón chất lượng cao tại Việt Nam...
25 năm trên cương vị Giám đốc điều hành Công ty TNHH Thời trang Nón Sơn - một thương hiệu thời trang nổi tiếng với gần 200 cửa hàng trên toàn quốc, Nón Sơn đã trở thành một thương hiệu thời trang không còn xa lạ với đông đảo người tiêu dùng ở Việt Nam...
(Theo Báo Quảng Trị)</t>
  </si>
  <si>
    <t>CÔNG TY TNHH THỜI TRANG NÓN SƠN
"Thỏa mãn đam mê thời trang – Khẳng định đẳng cấp dẫn đầu"
GIỚI THIỆU CHUNG
Được thành lập từ năm 1996 và chính thức hoạt động dưới pháp nhân Công ty TNHH Thời Trang Nón Sơn từ năm 2006, Nón Sơn đã vươn mình trở thành thương hiệu mũ nón thời trang hàng đầu tại Việt Nam. Với sự kết hợp tinh tế giữa quy trình sản xuất thủ công truyền thống và tư duy thiết kế hiện đại, Nón Sơn không chỉ đơn thuần cung cấp những sản phẩm che mưa nắng mà còn mang đến những tác phẩm nghệ thuật thời trang, giúp khách hàng khẳng định phong cách riêng biệt.
SẢN PHẨM &amp; CHẤT LƯỢNG
Nón Sơn nổi tiếng với danh mục sản phẩm đa dạng, từ các dòng nón bảo hiểm đạt chuẩn an toàn đến các dòng nón thời trang cao cấp như: Nón vành, nón kết (lưỡi trai), nón đan tay thủ công, nón da, nón phớt và nón Snapback. Mỗi sản phẩm đều được chế tác từ nguồn nguyên liệu tuyển chọn, trải qua quy trình kiểm soát chất lượng nghiêm ngặt, đảm bảo sự bền bỉ, thoải mái và đón đầu các xu hướng thời trang quốc tế.
HỆ THỐNG PHÂN PHỐI
Với mạng lưới hơn 190 cửa hàng trải dài khắp 63 tỉnh thành từ Bắc chí Nam, Nón Sơn tự hào sở hữu hệ thống nhận diện thương hiệu phủ sóng rộng khắp, dễ dàng tiếp cận và phục vụ khách hàng mọi lúc, mọi nơi. Chúng tôi cam kết 100% hàng chính hãng cùng chính sách chăm sóc khách hàng chuyên nghiệp, xứng đáng là lựa chọn ưu tiên của người tiêu dùng trong và ngoài nước.</t>
  </si>
  <si>
    <t>b9c9377e932a972ef1eb6dcebb36c796_w256.webp</t>
  </si>
  <si>
    <t>A021</t>
  </si>
  <si>
    <t>Nguyễn Văn Nam</t>
  </si>
  <si>
    <t>NguyenVanNam-removebg-preview_w256.webp</t>
  </si>
  <si>
    <t>Ban Giao thương CLB - Giám đốc</t>
  </si>
  <si>
    <t>CÔNG TY TNHH BĂNG TẢI QUỐC HƯNG</t>
  </si>
  <si>
    <t>Băng tải Quốc Hưng</t>
  </si>
  <si>
    <t>0315763929</t>
  </si>
  <si>
    <t>914a1ef98f02495c10131111-6003.png</t>
  </si>
  <si>
    <t>2822/3B Đường APĐ 27, Phường An Phú Đông, TP Hồ Chí Minh</t>
  </si>
  <si>
    <t>0939982539</t>
  </si>
  <si>
    <t>www.quochunggroup.com</t>
  </si>
  <si>
    <t>https://www.tiktok.com/@nam.quc.hung</t>
  </si>
  <si>
    <t>Chế tạo máy</t>
  </si>
  <si>
    <t>Hệ thống tự động hóa</t>
  </si>
  <si>
    <t>Hệ thống băng tải</t>
  </si>
  <si>
    <t>AGV, Robot, IOT</t>
  </si>
  <si>
    <t>914a1ef98f02495c10131111-6003_w256.webp</t>
  </si>
  <si>
    <t>NguyenVanNam-removebg-preview.png</t>
  </si>
  <si>
    <t>A022</t>
  </si>
  <si>
    <t>A089</t>
  </si>
  <si>
    <t>Dương Thị Lài</t>
  </si>
  <si>
    <t>1dd5c60a-4dec-4594-afdf-f1a8526281a5s_w256.webp</t>
  </si>
  <si>
    <t>CÔNG TY TNHH TM-DV TRUYỀN THÔNG VIỆT</t>
  </si>
  <si>
    <t>Truyền Thông Việt</t>
  </si>
  <si>
    <t>6ccf39aa-ef3a-4321-843d-3aaee1d8e224.png</t>
  </si>
  <si>
    <t>Số 11, Đường số 3, KDC Hưng Phú, KP1, Phường Tam Phú , TP. HCM</t>
  </si>
  <si>
    <t>0776682786</t>
  </si>
  <si>
    <r>
      <rPr>
        <u/>
        <sz val="10"/>
        <rFont val="Arial"/>
      </rPr>
      <t>duonglaibtm@gmail.com</t>
    </r>
  </si>
  <si>
    <t>zalo.me/0776682786</t>
  </si>
  <si>
    <t>Truyền thông, maketing</t>
  </si>
  <si>
    <t>Cung cấp quà tết, lễ</t>
  </si>
  <si>
    <t>Xử lý chất thải nguy hại, tiêu huỷ hàng hóa</t>
  </si>
  <si>
    <t>Dịch vụ vệ sinh công nghiệp</t>
  </si>
  <si>
    <t>Xử lý chất thải công nghiệp thông thường</t>
  </si>
  <si>
    <t>Vật tư, thiết bị hàng hải: tàu biển/sông</t>
  </si>
  <si>
    <t>6ccf39aa-ef3a-4321-843d-3aaee1d8e224_w256.webp</t>
  </si>
  <si>
    <t>1dd5c60a-4dec-4594-afdf-f1a8526281a5s.jpg</t>
  </si>
  <si>
    <t>A023</t>
  </si>
  <si>
    <t>A073</t>
  </si>
  <si>
    <t>Cao Thành Công</t>
  </si>
  <si>
    <t>CaoThanhCong_w256.webp</t>
  </si>
  <si>
    <t>Ban Kiểm soát CLB - Giám đốc</t>
  </si>
  <si>
    <t>CÔNG TY TNHH SUCCESS NETWORK</t>
  </si>
  <si>
    <t>Success Network</t>
  </si>
  <si>
    <t>0317954051</t>
  </si>
  <si>
    <t>Screenshot 2026-03-18 124814.png</t>
  </si>
  <si>
    <t>606/147/24 Đường 3/2, Phường Diên Hồng, TP Hồ Chí Minh</t>
  </si>
  <si>
    <t>0918919279</t>
  </si>
  <si>
    <t>successnetwork.vn@gmail.com</t>
  </si>
  <si>
    <t>84918919279</t>
  </si>
  <si>
    <t>https://www.successnetwork.vn</t>
  </si>
  <si>
    <t>https://www.facebook.com/CaoThanhCongOfficial</t>
  </si>
  <si>
    <t>Group Coaching Đầu tư Cổ phiếu</t>
  </si>
  <si>
    <t>Coaching 1:1 Đầu tư Cổ phiếu</t>
  </si>
  <si>
    <t>Coaching Doanh nghiệp</t>
  </si>
  <si>
    <t>Cố vấn Đầu tư Cổ phiếu</t>
  </si>
  <si>
    <t>KIẾN TẠO MẠNG LƯỚI THÀNH CÔNG</t>
  </si>
  <si>
    <t>SUCCESS NETWORK – CỐ VẤN CHIẾN LƯỢC &amp; ĐẦU TƯ TÀI CHÍNH THỊNH VƯỢNG 
"Kiến tạo tư duy, đột phá lợi nhuận"
GIỚI THIỆU CHUNG
Công ty TNHH Success Network là tổ chức hàng đầu trong lĩnh vực đào tạo (Coaching) và cố vấn đầu tư tài chính chuyên sâu. Dưới sự dẫn dắt của ông Cao Thành Công – Giám đốc Ban Kiểm soát CLB, Success Network cam kết mang đến những lộ trình đầu tư bài bản, giúp khách hàng tối ưu hóa dòng tiền và xây dựng danh mục tài sản bền vững. Chúng tôi không chỉ cung cấp kiến thức mà còn đồng hành thực chiến, giúp nhà đầu tư làm chủ thị trường chứng khoán một cách thông tuệ.
DỊCH VỤ CỐT LÕI
Cố vấn Đầu tư Cổ phiếu: Phân tích thị trường, lựa chọn mã cổ phiếu tiềm năng dựa trên các chỉ số tài chính và dòng tiền thực tế.
Coaching Tài chính: Đào tạo tư duy đầu tư chuyên nghiệp, quản trị rủi ro và thiết lập kế hoạch tự do tài chính dài hạn.
Chiến lược Chứng khoán: Cung cấp các công cụ và phương pháp phân tích kỹ thuật hiện đại, phù hợp với biến động của thị trường Việt Nam.
GIÁ TRỊ KHÁC BIỆT
Với triết lý "Thành công theo mạng lưới", Success Network xây dựng cộng đồng nhà đầu tư văn minh, nơi tri thức được sẻ chia và cơ hội được nhân rộng. Chúng tôi tin rằng đầu tư là một hành trình cần sự kỷ luật và am hiểu sâu sắc, và Success Network chính là người đồng hành đáng tin cậy trên hành trình đó.
THÔNG TIN LIÊN HỆ
Địa chỉ: 606/147/24 Đường 3/2, Phường Diên Hồng, TP. Hồ Chí Minh.
Điện thoại: 0918 919 279 (Mr. Cao Thành Công).
Email: successnetwork.vn@gmail.com | Website: successnetwork.vn.</t>
  </si>
  <si>
    <t>Screenshot 2026-03-18 124814_w256.webp</t>
  </si>
  <si>
    <t>CaoThanhCong.jpg</t>
  </si>
  <si>
    <t>A024</t>
  </si>
  <si>
    <t>A071</t>
  </si>
  <si>
    <t>Lê Thanh Diệu Ly</t>
  </si>
  <si>
    <t>66ce2137-aa87-48ad-be3f-0c480771472a_w256.webp</t>
  </si>
  <si>
    <t>Ban Đối ngoại CLB - Giám đốc</t>
  </si>
  <si>
    <t>Thực phẩm An Phát</t>
  </si>
  <si>
    <t>0313988740</t>
  </si>
  <si>
    <t>Screenshot 2026-03-18 130140.png</t>
  </si>
  <si>
    <t>48 Lý Thái Tổ, Phường Quảng Trị, Tỉnh Quảng Trị</t>
  </si>
  <si>
    <t>Số 12, Ngõ 50 Nguyễn Hữu Thọ, Phường Hoàng Mai, TP. Hà Nội</t>
  </si>
  <si>
    <t>0935996668</t>
  </si>
  <si>
    <r>
      <rPr>
        <u/>
        <sz val="10"/>
        <rFont val="Arial"/>
      </rPr>
      <t>thucphamanphat668@gmail.com</t>
    </r>
  </si>
  <si>
    <t>zalo.me/0935996668</t>
  </si>
  <si>
    <t>Sản xuất Rượu Thượng Uyển</t>
  </si>
  <si>
    <t>Rượu Mắc ca vẩy vàng 24k</t>
  </si>
  <si>
    <t>Phân phối Tổ yến sào cao cấp</t>
  </si>
  <si>
    <t>Trà gạo lứt thảo mộc</t>
  </si>
  <si>
    <t>Set quà tặng doanh nghiệp VIP</t>
  </si>
  <si>
    <t>Thực phẩm bảo vệ sức khỏe</t>
  </si>
  <si>
    <t>Sản xuất đồ uống truyền thống</t>
  </si>
  <si>
    <t>Cung ứng thực phẩm đặc sản</t>
  </si>
  <si>
    <t>LỰA CHỌN THƯỢNG HẠNG CHO DOANH NHÂN</t>
  </si>
  <si>
    <t>CÔNG TY TNHH THƯƠNG MẠI VÀ DỊCH VỤ THỰC PHẨM AN PHÁT
"Tinh hoa thực phẩm – Gắn kết thâm giao"
GIỚI THIỆU CHUNG
Công ty Thực phẩm An Phát là đơn vị chuyên sâu trong lĩnh vực sản xuất và cung ứng các dòng sản phẩm cao cấp gồm Rượu, Yến và Trà. Với tâm huyết mang đến những sản phẩm bồi bổ sức khỏe và nâng tầm văn hóa thưởng thức, An Phát đã khẳng định vị thế qua các dòng sản phẩm thượng hạng, kết hợp giữa nguyên liệu quý hiếm và quy trình chế biến hiện đại. Dưới sự dẫn dắt của Giám đốc Lê Thanh Diệu Ly, chúng tôi không chỉ cung cấp thực phẩm mà còn mang đến những giải pháp quà tặng đẳng cấp cho cá nhân và doanh nghiệp.
SẢN PHẨM CHIẾN LƯỢC
Dòng Rượu Thượng Uyển: Nổi bật với Rượu Yến Thượng Uyển độc đáo và Rượu Mắc ca vẩy vàng 24k sang trọng, phù hợp cho các dịp đại tiệc và ngoại giao.
Tổ Yến Sào: Các mặt hàng yến nguyên chất, giữ trọn hàm lượng dinh dưỡng cao nhất từ vùng đất Quảng Trị.
Trà Thảo Mộc: Các dòng Trà gạo lứt tâm sen, Trà gạo lứt móng rồng giúp thanh lọc cơ thể và thư giãn tinh thần.
Set Quà Tặng Doanh Nghiệp: Thiết kế tinh tế, cá nhân hóa theo yêu cầu, khẳng định đẳng cấp người tặng.
HỆ THỐNG VẬN HÀNH
Với trụ sở chính tại Quảng Trị và chi nhánh năng động tại Thủ đô Hà Nội, An Phát đảm bảo khả năng cung ứng nhanh chóng và dịch vụ chăm sóc khách hàng tận tâm trên toàn quốc.
THÔNG TIN LIÊN HỆ
Trụ sở chính: 48 Lý Thái Tổ, Phường Quảng Trị, Thị xã Quảng Trị, Tỉnh Quảng Trị.
Cơ sở sản xuất: Kiệt 50 Nguyễn Du, TP. Đông Hà, Tỉnh Quảng Trị.
Chi nhánh Hà Nội: Số 12, Ngõ 50 Nguyễn Hữu Thọ, TP. Hà Nội.
Hotline: 0935 996 668 (Ms. Lê Thanh Diệu Ly).
Email: thucphamanphat668@gmail.com.</t>
  </si>
  <si>
    <t>Screenshot 2026-03-18 130140_w256.webp</t>
  </si>
  <si>
    <t>66ce2137-aa87-48ad-be3f-0c480771472a.jpg</t>
  </si>
  <si>
    <t>A025</t>
  </si>
  <si>
    <t>A086</t>
  </si>
  <si>
    <t>Nguyễn Đình Phúc</t>
  </si>
  <si>
    <t>Phuc_w256.webp</t>
  </si>
  <si>
    <t>Ban Truyền thông CLB - Tổng Giám đốc</t>
  </si>
  <si>
    <t>CÔNG TY CỔ PHẦN TRUYỀN HÌNH DU LỊCH VIỆT NAM</t>
  </si>
  <si>
    <t>Truyền hình Du lịch VN</t>
  </si>
  <si>
    <t>0317822224</t>
  </si>
  <si>
    <t>593585738_2249557835470958_2944363345951452713_n.jpg</t>
  </si>
  <si>
    <t>710/13B Huỳnh Tấn Phát, Khu phố 3, Phường Tân Mỹ, TP. HCM</t>
  </si>
  <si>
    <t>Số 102, Đường số 6, Cityland, Phường Gò Vấp, TP. HCM</t>
  </si>
  <si>
    <t>https://fb.com/phucnguyen2601</t>
  </si>
  <si>
    <t>fb.com/profile.php?id=61584552995446</t>
  </si>
  <si>
    <t>Tổ chức Sự kiện &amp; Festival</t>
  </si>
  <si>
    <t>Truyền thông Đa phương tiện</t>
  </si>
  <si>
    <t>Sản xuất chương trình Truyền hình</t>
  </si>
  <si>
    <t>Hoạt động Biểu diễn Nghệ thuật</t>
  </si>
  <si>
    <t>Gia công Trang sức cao cấp</t>
  </si>
  <si>
    <t>Chế tác Đồ mỹ nghệ tinh xảo</t>
  </si>
  <si>
    <t>Tư vấn Chiến lược Thương hiệu</t>
  </si>
  <si>
    <t>Quản lý &amp; Vận hành dự án Văn hóa</t>
  </si>
  <si>
    <t>KẾT NỐI TINH HOA, LAN TỎA DI SẢN</t>
  </si>
  <si>
    <t>CLB Doanh nhân Quảng Trị trân trọng chào mừng Doanh nhân – Nghệ nhân Quốc gia Nguyễn Đình Phúc,
Tổng Giám đốc Công ty Cổ phần Truyền hình Du lịch Việt Nam, chính thức gia nhập CLB và tham gia Ban Truyền thông &amp; Sự kiện.
Anh Nguyễn Đình Phúc là người đứng sau thành công của Miss Cosmetic Vietnam Mùa 1 và chính thức cầm lái Miss Cosmetic Vietnam 2026 với vai trò Trưởng Ban Tổ chức Mùa 2. Với bề dày kinh nghiệm trong lĩnh vực truyền thông và tổ chức sự kiện chuyên nghiệp, anh được kỳ vọng sẽ góp phần nâng tầm hình ảnh, quy mô và tính chuyên nghiệp cho các hoạt động của CLB Doanh nhân Quảng Trị trong thời gian tới.
“Để tạo nên một hành trình di sản, cần một người thấu hiểu từng nhịp đập của nó.” ✨
🙏 Trân trọng chào mừng anh Nguyễn Đình Phúc đến với đại gia đình CLB Doanh nhân Quảng Trị.
Chúc anh nhiều sức khỏe, thành công và đồng hành lâu dài cùng CLB.</t>
  </si>
  <si>
    <t>CÔNG TY CỔ PHẦN TRUYỀN HÌNH DU LỊCH VIỆT NAM
"Kiến tạo hành trình di sản – Nâng tầm bản sắc văn hóa"
GIỚI THIỆU CHUNG
Công ty Cổ phần Truyền hình Du lịch Việt Nam là đơn vị hàng đầu trong lĩnh vực truyền thông đa phương tiện, tổ chức sự kiện quy mô quốc gia và phát triển văn hóa du lịch. Dưới sự dẫn dắt của Tổng Giám đốc – Nghệ nhân Quốc gia Nguyễn Đình Phúc, công ty không chỉ là cơ quan truyền thông nhạy bén mà còn là "tổng công trình sư" cho các chương trình văn hóa, nghệ thuật đẳng cấp. Với sứ mệnh kết nối di sản và hiện đại, chúng tôi tự hào là đơn vị đứng sau thành công rực rỡ của các cuộc thi nhan sắc và sự kiện tầm cỡ, tiêu biểu là dự án Miss Cosmetic Vietnam.
NĂNG LỰC CỐT LÕI
Sự kiện &amp; Biểu diễn: Chuyên tổ chức các cuộc thi hoa hậu, festival văn hóa và chương trình biểu diễn nghệ thuật chuyên nghiệp. Đơn vị sở hữu bản quyền và trực tiếp điều hành Miss Cosmetic Vietnam 2026.
Truyền thông đa phương tiện: Sản xuất nội dung truyền hình, quảng bá du lịch và xây dựng chiến lược hình ảnh toàn diện cho các tổ chức, thương hiệu lớn.
Chế tác Mỹ nghệ: Sự kết hợp độc đáo giữa truyền thông và nghệ thuật kim hoàn, chuyên gia công trang sức cao cấp và đồ mỹ nghệ tinh xảo, mang đậm dấu ấn cá nhân của một Nghệ nhân Quốc gia.
GIÁ TRỊ KHÁC BIỆT
Tại Truyền hình Du lịch Việt Nam, chúng tôi tin rằng "để tạo nên một hành trình di sản, cần một người thấu hiểu từng nhịp đập của nó". Sự am hiểu sâu sắc về nghệ thuật truyền thống hòa quyện cùng tư duy truyền thông hiện đại giúp công ty tạo ra những sản phẩm có giá trị thẩm mỹ cao và sức lan tỏa mạnh mẽ trong cộng đồng.</t>
  </si>
  <si>
    <t>593585738_2249557835470958_2944363345951452713_n_w256.webp</t>
  </si>
  <si>
    <t>Phuc.jpg</t>
  </si>
  <si>
    <t>A026</t>
  </si>
  <si>
    <t>Võ Thị Nhân</t>
  </si>
  <si>
    <t>Nhan2_W128.webp</t>
  </si>
  <si>
    <t>Ban VHTT &amp; Từ thiện CLB - GĐ Kinh doanh</t>
  </si>
  <si>
    <t>CTY TNHH BÌNH MINH SAFETY</t>
  </si>
  <si>
    <t>Bình Minh Safety</t>
  </si>
  <si>
    <t>0315466468</t>
  </si>
  <si>
    <t>binhminhsafety.png</t>
  </si>
  <si>
    <t>20/88/2 Bờ Bao Tân Thắng, Phường Tân Sơn Nhì, TP Hồ Chí Minh</t>
  </si>
  <si>
    <t>0932358253</t>
  </si>
  <si>
    <t>binhminhsafety.kd@gmail.com</t>
  </si>
  <si>
    <t>84932358253</t>
  </si>
  <si>
    <t>https://binhminhsafety.com</t>
  </si>
  <si>
    <t>Đồng phục &amp; Bảo hộ lao động</t>
  </si>
  <si>
    <t>Thiết bị PCCC &amp; Báo cháy</t>
  </si>
  <si>
    <t>Thiết bị bảo vệ cá nhân (PPE)</t>
  </si>
  <si>
    <t>Thiết bị giao thông &amp; Cách điện</t>
  </si>
  <si>
    <t>Giày ủng &amp; Dây đai an toàn</t>
  </si>
  <si>
    <t>Thiết bị cứu sinh &amp; Chống độc</t>
  </si>
  <si>
    <t>Tư vấn giải pháp an toàn</t>
  </si>
  <si>
    <t>Lắp đặt hệ thống chữa cháy</t>
  </si>
  <si>
    <t>Sinh năm 1983 tại xã Triệu Lăng, huyện Triệu Phong, tỉnh Quảng Trị, chị Võ Thị Nhân hiện nay là Giám đốc kinh doanh Công ty TNHH Bình Minh Safety, doanh nghiệp chuyên sản xuất áo quần đồng phục và thiết bị bảo hộ lao động với trụ sở đặt tại số 20/88/2 Bờ Bao Tân Thắng, Phường Sơn Kỳ, Quận Tân Phú, TP.HCM (gần AEON Tân Phú).
Với sự chỉn chu trong chất lượng, đa dạng trong thiết kế và uy tín trong dịch vụ, Bình Minh Safety đã trở thành đối tác đáng tin cậy của nhiều doanh nghiệp, nhà máy, khu công nghiệp tại Tp. HCM và các tỉnh thành khác.
Không chỉ dừng lại ở vai trò lãnh đạo doanh nghiệp, chị Võ Thị Nhân còn là một nhân tố tích cực trong cộng đồng đồng hương Quảng Trị tại TP.HCM. Trong giới tennis, chị được biết đến với tên gọi thân mật "O Nhân", một người luôn năng nổ tham gia, kết nối và đóng góp cho các hoạt động thiện nguyện, thể thao.
Chị là gương mặt quen thuộc trong các giải đấu mang đậm tinh thần quê hương như:
🎾 Tennis Triệu Phong Yêu Thương
🎾 Tennis Hải Lăng Nghĩa Tình
🎾 Tennis Cam Lộ Tình Thương
… và nhiều hoạt động hướng về cội nguồn, sẻ chia với đồng bào khó khăn tại quê nhà.</t>
  </si>
  <si>
    <t>CÔNG TY TNHH BÌNH MINH SAFETY
"An toàn cho người lao động – Niềm tin cho doanh nghiệp"
GIỚI THIỆU CHUNG
Công ty TNHH Bình Minh Safety là đơn vị uy tín hàng đầu chuyên cung cấp giải pháp tổng thể về an toàn lao động và phòng cháy chữa cháy. Với đội ngũ lãnh đạo giàu kinh nghiệm cùng đội ngũ nhân viên trẻ, chuyên nghiệp và nhiệt huyết, chúng tôi tự tin mang đến những sản phẩm chất lượng cao, đáp ứng mọi tiêu chuẩn khắt khe về an toàn bảo hộ. Bình Minh Safety luôn đặt chữ "Uy tín" lên hàng đầu, cam kết đồng hành cùng các doanh nghiệp để kiến tạo một môi trường làm việc an toàn và bền vững.
NĂNG LỰC CỐT LÕI
Chúng tôi cung cấp hệ sinh thái sản phẩm đa dạng, từ đồng phục công sở, bảo hộ lao động cho đến các trang thiết bị kỹ thuật chuyên dụng như thiết bị cách điện, phao cứu sinh và hệ thống báo cháy. Sản phẩm của Bình Minh Safety được tuyển chọn kỹ lưỡng về tính năng, đảm bảo tiến độ giao hàng nhanh chóng với giá thành hợp lý nhất.
TRIẾT LÝ KINH DOANH
Uy tín tuyệt đối: Niềm tin của khách hàng là giá trị quan trọng hơn tất cả.
Chất lượng dẫn đầu: Sản phẩm luôn đạt chuẩn và cải tiến không ngừng.
Lắng nghe và Thấu hiểu: Luôn tiếp thu ý kiến khách hàng để hoàn thiện dịch vụ mỗi ngày.
THÔNG TIN LIÊN HỆ
Địa chỉ: 20/88/2 Bờ Bao Tân Thắng, Phường Sơn Kỳ, Quận Tân Phú, TP. HCM
Hotline: 0918 535 050 – 0902 077 009
Website: www.binhminhsafety.com
Email: binhminhsafety.kd@gmail.com</t>
  </si>
  <si>
    <t>binhminhsafety_w256.webp</t>
  </si>
  <si>
    <t>A027</t>
  </si>
  <si>
    <t>A053</t>
  </si>
  <si>
    <t>Nguyễn Khắc Tuệ</t>
  </si>
  <si>
    <t>Tue_w256.webp</t>
  </si>
  <si>
    <t>CÔNG TY TNHH CƠ KHÍ XÂY DỰNG SONG NGỌC</t>
  </si>
  <si>
    <t>Song Ngọc Constructions</t>
  </si>
  <si>
    <t>0312260211</t>
  </si>
  <si>
    <t>Screenshot 2026-03-18 180256.png</t>
  </si>
  <si>
    <t>VP-2-09, Lầu 2, Tòa nhà St. Moritz. Số 1014 Phạm Văn Đồng, Phường Hiệp Bình, TP. HCM</t>
  </si>
  <si>
    <t>0903968699</t>
  </si>
  <si>
    <t>nkhactue@sncc.vn</t>
  </si>
  <si>
    <t>84903968699</t>
  </si>
  <si>
    <t>https://songngoc.com.vn</t>
  </si>
  <si>
    <t>Xây dựng Nhà máy &amp; Nhà xưởng</t>
  </si>
  <si>
    <t>Hạ tầng Cầu, Cảng &amp; Đê kè</t>
  </si>
  <si>
    <t>Cấu kiện đúc sẵn &amp; Cơ khí</t>
  </si>
  <si>
    <t>Hệ thống chống ăn mòn biển</t>
  </si>
  <si>
    <t>Tư vấn thiết kế công trình thủy</t>
  </si>
  <si>
    <t>Thi công xây dựng &amp; Cơ giới</t>
  </si>
  <si>
    <t>San lấp &amp; Cho thuê thiết bị</t>
  </si>
  <si>
    <t>Cung ứng nhân công kỹ thuật</t>
  </si>
  <si>
    <t>XÂY NỀN TẢNG - DỰNG NIÈM TIN</t>
  </si>
  <si>
    <t xml:space="preserve">Ông Nguyễn Khắc Tuệ, sinh năm 1977, quê quán tại xã Hải Sơn, huyện Hải Lăng, tỉnh Quảng Trị. Năm 1995, ông rời quê hương vào TP.HCM để lập nghiệp. Trải qua nhiều ngành nghề khác nhau, ông đặc biệt bén duyên và gắn bó lâu dài với lĩnh vực xây dựng.
Năm 2009, ông bắt đầu hành trình khởi nghiệp với vai trò đội trưởng đội thi công xây dựng. Bằng sự tâm huyết, kinh nghiệm và tinh thần cầu tiến, ông chính thức thành lập Công ty TNHH Cơ khí Xây dựng Song Ngọc vào năm 2013 (Giấy phép ĐKKD số 0312260211 do Sở Kế hoạch và Đầu tư TP.HCM cấp).
Song Ngọc hoạt động đa dạng trong các lĩnh vực: thi công xây dựng công trình dân dụng, công nghiệp, công trình giao thông, thủy lợi; kinh doanh trang thiết bị nội – ngoại thất, vật liệu xây dựng; mua bán, cho thuê phương tiện vận tải và nguyên vật liệu phục vụ xây dựng.
Với hơn 12 năm kinh nghiệm thi công các công trình hạ tầng nhà máy, đê kè, cảng biển, Song Ngọc đã và đang nhận được sự tín nhiệm cao từ nhiều đối tác trong và ngoài nước. Đội ngũ nhân sự của công ty đều là những người có kinh nghiệm làm việc trong môi trường quốc tế và từng tham gia nhiều dự án có yếu tố nước ngoài.
Song Ngọc đã đồng hành thi công cùng nhiều chủ đầu tư và nhà thầu uy tín như: Penta Ocean, Penta Rinkai, Toa - Toyo Việt Nam, Công ty Trung Hậu, Công ty Hải Đăng, POSCO E&amp;C, FECON, LILAMA, IPC Group, COTECONS, Khang Đức, CHEC (Công ty Kỹ thuật Cảng Trung Quốc), Phương Anh Group, Đại học HUTECH, UEF, Vard Vũng Tàu, IBS, THADICO, Phan Vũ, NBK, ITC, SEAREFICO, Nhiệt điện Vĩnh Tân, PTSC Quảng Ngãi, Vietsovpetro, Gold Coin Feedmill...
Với thời gian xây dựng và phát triển, Song Ngọc có quyền tự hào khi dần khẳng định được tên tuổi và thương hiệu trên thị trường. luôn luôn nổ lực để phát triển với phương châm, Đối với đối tác, khách hàng Song Ngọc luôn giữ vững chữ "TÍN", không quên sứ mệnh mang đến sản phẩm và dịch vụ với chất lượng tốt nhất, duy trì, đảm bảo lợi ích của các bên.
Đối với toàn thể cán bộ, nhân viên, sẽ không ngừng nâng cao đời sống tinh thần và vật chất, mong chúng ta sẽ tiếp tục phát huy mạnh mẽ hơn nữa những giá trị cốt lõi đế tiếp tục kiến tạo các thành công mới cho công ty. </t>
  </si>
  <si>
    <r>
      <rPr>
        <sz val="10"/>
        <rFont val="Arial"/>
      </rPr>
      <t xml:space="preserve">CƠ KHÍ XÂY DỰNG SONG NGỌC – NHÀ THẦU THI CÔNG CÔNG NGHIỆP &amp; HẠ TẦNG CẢNG BIỂN HÀNG ĐẦU
"Chất lượng dựng niềm tin – Vững bền cùng dự án"
GIỚI THIỆU CHUNG
Được thành lập từ năm 2013, Công ty TNHH Cơ khí Xây dựng Song Ngọc đã khẳng định vị thế là nhà thầu uy tín với hơn 13 năm kinh nghiệm trong lĩnh vực xây dựng công nghiệp và hạ tầng. Chúng tôi chuyên triển khai các dự án quy mô lớn từ nhà máy sản xuất, năng lượng tái tạo đến các công trình thủy lợi, cầu cảng phức tạp. Với phương châm lấy chất lượng làm nền tảng, Song Ngọc đã và đang là đối tác tin cậy của hơn 200 khách hàng trong và ngoài nước.
LĨNH VỰC HOẠT ĐỘNG CHỦ LỰC
Xây dựng Công nghiệp: Thiết kế và thi công trọn gói nhà xưởng, nhà máy (Sơn Greenpro, Điện gió Hòa Bình...).
Hạ tầng Cầu &amp; Cảng: Chuyên thi công bến cảng tổng hợp, đê kè cảng biển và các công trình thủy (Cảng Mỹ Thủy, Cảng Phước Đông...).
Cơ khí &amp; Chống ăn mòn: Thi công các cấu kiện đúc sẵn và giải pháp chống ăn mòn chuyên dụng trên biển.
Dịch vụ Kỹ thuật &amp; Cơ giới: San lấp mặt bằng, thi công cơ giới, cho thuê thiết bị thi công và cung ứng nhân công xây dựng chuyên nghiệp.
NĂNG LỰC DỰ ÁN
Song Ngọc sở hữu danh mục hơn 300 dự án thiết kế và thi công trên toàn quốc. Chúng tôi tuân thủ nghiêm ngặt quy trình quản lý chất lượng ISO cùng các tiêu chuẩn an toàn (HSE) quốc tế, đảm bảo tiến độ nhanh và hiệu quả tối ưu cho mọi công trình.
THÔNG TIN LIÊN HỆ
Địa chỉ: VP-2-09, Lầu 2, Tòa nhà St. Moritz, Số 1014 Phạm Văn Đồng, TP. Thủ Đức, TP. HCM.
Điện thoại: 086 893 7699 | Email: songngoc@sncc.vn
Website: </t>
    </r>
    <r>
      <rPr>
        <u/>
        <sz val="10"/>
        <rFont val="Arial"/>
      </rPr>
      <t>sncc.vn</t>
    </r>
  </si>
  <si>
    <t>Screenshot 2026-03-18 180256_w256.webp</t>
  </si>
  <si>
    <t>Tue.jpg</t>
  </si>
  <si>
    <t>A028</t>
  </si>
  <si>
    <t>Lê Hữu Vương</t>
  </si>
  <si>
    <t>LHV-SR_w256.webp</t>
  </si>
  <si>
    <t>Giám đốc</t>
  </si>
  <si>
    <t>CÔNG TY TNHH MỘT THÀNH VIÊN VƯƠNG ANH QUỐC</t>
  </si>
  <si>
    <t>Vương Anh Quốc</t>
  </si>
  <si>
    <t>6400399252</t>
  </si>
  <si>
    <t>34/1 Tân Thới Hiệp 13, Phường Tân Thới Hiệp, TP. Hồ Chí Minh</t>
  </si>
  <si>
    <t>https://maps.app.goo.gl/a3dECn5SJ8zTsETT8</t>
  </si>
  <si>
    <t>Tổ Dân Phố 8, Phường Nam Gia Nghĩa, Tỉnh Lâm Đồng</t>
  </si>
  <si>
    <t>https://maps.app.goo.gl/FXBCPGHZna9QpnjL8</t>
  </si>
  <si>
    <t>0965652727</t>
  </si>
  <si>
    <t>vuonganhquoc2020@gmail.com</t>
  </si>
  <si>
    <t>84965652727</t>
  </si>
  <si>
    <t>https://www.facebook.com/messages/t/106394395137443</t>
  </si>
  <si>
    <t>https://vuongcha.vaq.vn</t>
  </si>
  <si>
    <t>facebook.com/vuongchafoods</t>
  </si>
  <si>
    <t>tiktok.com/@vuongchafoods</t>
  </si>
  <si>
    <t>https://hathyo.com/merchant/36</t>
  </si>
  <si>
    <t>Chả bò, chả lụa, chả tôm, chả cua</t>
  </si>
  <si>
    <t>Chế phẩm sinh học Bacte</t>
  </si>
  <si>
    <t>Nước uống dinh dưỡng rau củ quả</t>
  </si>
  <si>
    <t>Xà bông, xịt khử mùi, tẩy rửa</t>
  </si>
  <si>
    <t>Kem đánh răng, súc miệng, chống say</t>
  </si>
  <si>
    <t>Giải pháp nông nghiệp sạch</t>
  </si>
  <si>
    <t>CHẤT LƯỢNG - ĐẠO ĐỨC - BỀN VỮNG</t>
  </si>
  <si>
    <t xml:space="preserve">Lê Hữu Vương, sinh năm 1989, quê quán tại xã Triệu Vân, huyện Triệu Phong, tỉnh Quảng Trị (nay là xã Nam Cửa Việt). Từ nhỏ, Vương đã có niềm yêu thích đặc biệt với các món giò chả – một phần ký ức ẩm thực gắn liền với quê hương và tuổi thơ. Tuy nhiên, những thông tin về thực phẩm bẩn, đặc biệt là các vụ ngộ độc do giò chả không đảm bảo vệ sinh an toàn thực phẩm, luôn khiến anh trăn trở.
Chính những nỗi lo ấy đã thôi thúc Vương dấn thân vào lĩnh vực sản xuất thực phẩm sạch. Năm 2020, như một cơ duyên định mệnh, anh bắt đầu hành trình khởi nghiệp với dòng sản phẩm Chả bò, và từ đó thương hiệu “Chả Bò Đắk Nông” chính thức ra đời.
Với tâm huyết mang đến cho người tiêu dùng những sản phẩm vừa ngon, vừa an toàn, anh Vương luôn đặt chữ “tâm” lên hàng đầu trong mọi khâu sản xuất. Tôn chỉ làm nghề của anh là:
“Sản phẩm làm ra nếu bản thân không dám ăn thì tuyệt đối không bán cho khách hàng.”
Không chạy theo lợi nhuận, anh chú trọng vào giá trị thực sự của thực phẩm sạch, bởi với anh, sức khỏe cộng đồng luôn là ưu tiên số một.
Mang trong mình khát vọng đưa món Chả bò Đắk Nông lan tỏa rộng rãi hơn trên thị trường, anh Vương đã không ngừng nỗ lực để đưa sản phẩm đến gần hơn với người tiêu dùng cả nước.
Với sự chân thành, tử tế và kiên trì, Lê Hữu Vương đang từng bước gìn giữ và quảng bá một món ẩm thực đặc sản – không chỉ của vùng đất Đắk Nông mà còn là tâm huyết của một người con Quảng Trị muốn lan tỏa những điều tử tế qua từng miếng chả, từng bữa ăn. </t>
  </si>
  <si>
    <t>[HỒ SƠ NĂNG LỰC CÔNG TY TNHH MTV VƯƠNG ANH QUỐC - VAQ]
1. THÔNG TIN CHUNG:
Trụ sở: TDP 8, Phường Nghĩa Phú, TP. Gia Nghĩa, Tỉnh Đắk Nông.
Văn phòng chính: 34/1 Tân Thới Hiệp 13, Phường Tân Thới Hiệp, TP.HCM
Hotline: 0965 65 27 27 | Email: vuonganhquoc2020@gmail.com
Hệ thống Website: vaq.vn (Tổng thể) | vuongcha.vaq.vn (Thực phẩm) | hmp.vaq.vn (Sinh học).
Nhà sáng lập: Lê Hữu Vương (Startup tiêu biểu Shark Tank Việt Nam 2024).
2. GIÁ TRỊ CỐT LÕI &amp; SỨ MỆNH:
VAQ hoạt động dựa trên kiềng ba chân: CHẤT LƯỢNG - ĐẠO ĐỨC - BỀN VỮNG. Với tôn chỉ "Sản phẩm làm ra nếu bản thân không dám ăn thì tuyệt đối không bán cho khách hàng", VAQ cam kết mang đến những sản phẩm tử tế, an toàn cho sức khỏe và thân thiện với môi trường, góp phần nâng cao giá trị nông sản Việt.
3. HAI NHÓM SẢN PHẨM CHIẾN LƯỢC:
A. NHÓM THỰC PHẨM TRUYỀN THỐNG (THƯƠNG HIỆU VƯƠNG CHẢ):
Sản phẩm chính: Chả Bò Thượng Hạng, Chả Bò Tai Ớt Xanh...
Nguồn gốc: 100% thịt bò M'Nông chăn thả tự nhiên tại cao nguyên Đắk Nông, thịt săn chắc, ngọt thanh.
Công nghệ: Sản xuất khép kín trong 90 phút sau giết mổ để giữ độ tươi nóng. Kết hợp gia vị tinh tuyển (tiêu rừng, tỏi Lý Sơn, nước mắm sạch).
Cam kết: "3 KHÔNG" (Không hóa chất, Không phụ gia, Không chất bảo quản). Gói lá chuối rừng truyền thống hoặc hút chân không hiện đại.
B. NHÓM CHẾ PHẨM SINH HỌC &amp; GIẢI PHÁP NÔNG NGHIỆP XANH (DÒNG BACTE &amp; HMP):
Nông nghiệp (Bacte): Ứng dụng hoạt chất Chitosan từ vỏ tôm và Cinnamyl acetate từ vỏ quế. Tiêu diệt 98% tuyến trùng trong 90 phút, trị nấm bệnh hiệu quả (82-87%) trên cây sầu riêng và cây công nghiệp. Được Hội đồng khoa học Nhà nước chứng nhận, không dư lượng hóa chất, an toàn cho đất và thiên địch. Các dòng: Bacte Vàng, Ngũ Sắc, Đỏ, Xanh, Nâu...
Đời sống (HMP): Chế phẩm sinh học ứng dụng trong gia đình như Xà bông nước BMS, Nước rửa rau củ Happy Green, Kem đánh răng Happy Gums. Thành phần 100% thảo mộc và sinh học, bảo vệ sức khỏe người dùng.
4. THÀNH TỰU &amp; UY TÍN:
VAQ là Startup gây tiếng vang khi nhận được sự đầu tư của 5 Shark tại Shark Tank Việt Nam 2024. Thương hiệu được khẳng định qua hệ thống đại lý rộng khắp và sự tin dùng của bà con nông dân trong lộ trình sản xuất nông sản sạch không độc hại.</t>
  </si>
  <si>
    <t>CS. Hiền Anh</t>
  </si>
  <si>
    <t>LHV-SR.png</t>
  </si>
  <si>
    <t>A029</t>
  </si>
  <si>
    <t>Trần Thị Lan</t>
  </si>
  <si>
    <t>21277f7ca6e128bf71f0_w256.webp</t>
  </si>
  <si>
    <t>CTY TNHH SẢN XUẤT VÀ TM NÔNG SẢN SẠCH TRẦN LAN</t>
  </si>
  <si>
    <t>Trần Lan Clean</t>
  </si>
  <si>
    <t>3200737734</t>
  </si>
  <si>
    <t>7a6b3a69-6d79-4191-9b47-45b9addd184e.jpg</t>
  </si>
  <si>
    <t>Thôn Phương An, Xã Triệu Cơ, Tỉnh Quảng Trị</t>
  </si>
  <si>
    <t>https://maps.app.goo.gl/qRvo3pubgdprh8WA9</t>
  </si>
  <si>
    <t>0919410234</t>
  </si>
  <si>
    <t>nongsantranlan@gmail.com</t>
  </si>
  <si>
    <t>84919410234</t>
  </si>
  <si>
    <t>https://nongsansachtranlan.com</t>
  </si>
  <si>
    <t>Sản xuất &amp; kinh doanh nông sản sạch</t>
  </si>
  <si>
    <t>Chế biến và bảo quản rau quả</t>
  </si>
  <si>
    <t>Chế biến ngũ cốc hạt sen</t>
  </si>
  <si>
    <t>Bột rau củ sấy lạnh</t>
  </si>
  <si>
    <t>Dược liệu thảo mộc</t>
  </si>
  <si>
    <t>Bánh hạt dinh dưỡng</t>
  </si>
  <si>
    <t>UỐNG LÀNH - SỐNG KHỎE</t>
  </si>
  <si>
    <t>7a6b3a69-6d79-4191-9b47-45b9addd184e_w256.webp</t>
  </si>
  <si>
    <t>21277f7ca6e128bf71f0.jpg</t>
  </si>
  <si>
    <t>A030</t>
  </si>
  <si>
    <t>A047</t>
  </si>
  <si>
    <t>Nguyễn Mạnh Trí</t>
  </si>
  <si>
    <t>3x4_w256.webp</t>
  </si>
  <si>
    <t>Ban Thư Ký CLB - Assistant Manager</t>
  </si>
  <si>
    <t>CÔNG TY CỔ PHẦN CÔNG NGHỆ THƯƠNG MẠI VÀ DỊCH VỤ GFG</t>
  </si>
  <si>
    <t>GFG</t>
  </si>
  <si>
    <t>Thumb.png</t>
  </si>
  <si>
    <t>31 Giang Văn Minh, Phường Hòa Cường, Thành phố Đà Nẵng</t>
  </si>
  <si>
    <t>0949215868</t>
  </si>
  <si>
    <t>trimanh.work@gmail.com</t>
  </si>
  <si>
    <t>https://www.gfg.com.vn</t>
  </si>
  <si>
    <t>https://www.facebook.com/info.gfg/</t>
  </si>
  <si>
    <t>Công nghệ Hút ẩm Công nghiệp</t>
  </si>
  <si>
    <t>Giải pháp Diệt khuẩn Nano</t>
  </si>
  <si>
    <t>Bảo quản Thực phẩm &amp; Dược phẩm</t>
  </si>
  <si>
    <t>Chống ẩm Container &amp; Kho bãi</t>
  </si>
  <si>
    <t>Tư vấn Kiểm soát Độ ẩm</t>
  </si>
  <si>
    <t>Phân phối Thiết bị Y tế</t>
  </si>
  <si>
    <t>Giải pháp Tiết kiệm Năng lượng</t>
  </si>
  <si>
    <t>Vật liệu Chống rỉ sét &amp; Carbon</t>
  </si>
  <si>
    <t>GREEN TECHNOLOGY FOR GROWTH</t>
  </si>
  <si>
    <t>Công ty Cổ phần Công nghệ Thương mại và Dịch vụ GFG (GFG Corp) là đơn vị tiên phong trong nghiên cứu, sản xuất và phân phối các giải pháp công nghệ xanh, thông minh và thân thiện với môi trường. Với đội ngũ chuyên gia dày dạn kinh nghiệm trong các lĩnh vực khoa học công nghệ, quản trị dự án và chiến lược truyền thông, GFG cam kết đồng hành cùng doanh nghiệp tối ưu hóa quy trình bảo quản sản phẩm và bảo vệ sức khỏe cộng đồng. Chúng tôi tự hào mang đến hệ thống sản phẩm đạt tiêu chuẩn quốc tế (Reach/RoHS) và chứng nhận an toàn thực phẩm của Bộ Y tế, giúp kéo dài tuổi thọ thiết bị kỹ thuật, hàng thủ công mỹ nghệ, thực phẩm và dược phẩm. Với triết lý "Công nghệ xanh cho sự tăng trưởng bền vững", GFG không ngừng cải tiến để cung cấp những giải pháp tiết kiệm chi phí, nâng cao lợi nhuận và chung tay bảo vệ môi trường sống.
Sản phẩm và Dịch vụ cốt lõi:
Công nghệ Hút ẩm &amp; Bảo quản: Cung cấp bột chống ẩm SECCO, hạt Silica gel, Clay, Alumina và giải pháp kiểm soát độ ẩm cho hàng container, kho bãi.
Giải pháp Diệt khuẩn Công nghệ cao: Phân phối độc quyền dòng sản phẩm NanoClo2 từ Nhật Bản giúp diệt virus, vi khuẩn và khử mùi không khí hiệu quả.
Bảo quản Nông sản &amp; Thực phẩm: Giải pháp hấp thụ Oxy, CO2 và Ethylene giúp duy trì độ tươi ngon cho trái cây, hoa tươi và thực phẩm chế biến.
Tư vấn Giải pháp Tối ưu: Thiết kế phương pháp lưu trữ và vận chuyển hàng hóa công nghiệp, nông nghiệp giúp tiết kiệm nhiên liệu và chi phí vận hành.
Tên đơn vị: Công ty Cổ phần Công nghệ Thương mại và Dịch vụ GFG
Địa chỉ: Số 02 Hưng Hóa 6, Phường Hòa Cường Bắc, Quận Hải Châu, Thành phố Đà Nẵng.
Hotline: 0236 6535 888 – 0903 501 259
Email: info@gfg.com.vn
Website: gfg.com.vn</t>
  </si>
  <si>
    <t>Thumb_w256.webp</t>
  </si>
  <si>
    <t>3x4.jpg</t>
  </si>
  <si>
    <t>A031</t>
  </si>
  <si>
    <t>Hoàng Bá Hiệp</t>
  </si>
  <si>
    <t>cdbdf7c2-7fdc-4d5b-8697-faca30aeb500-removebg-preview_w256.webp</t>
  </si>
  <si>
    <t>CÔNG TY TNHH KAKAO TRAVEL</t>
  </si>
  <si>
    <t>KAKAO TRAVEL</t>
  </si>
  <si>
    <t>4201950094</t>
  </si>
  <si>
    <t>kakaotravel_H256.png</t>
  </si>
  <si>
    <t>50 Bis Yersin, Phường Tây Nha Trang, Tỉnh Khánh Hòa</t>
  </si>
  <si>
    <t>https://maps.app.goo.gl/BQz2zc1fTUH9EQCH8</t>
  </si>
  <si>
    <t>0975995246</t>
  </si>
  <si>
    <t>hbahiep@gmail.com</t>
  </si>
  <si>
    <t>84975995246</t>
  </si>
  <si>
    <t>https://kakaotravel.net</t>
  </si>
  <si>
    <t>Du lịch Trong nước &amp; Quốc tế</t>
  </si>
  <si>
    <t>Tổ chức Giải Golf chuyên nghiệp</t>
  </si>
  <si>
    <t>Dịch vụ Khách Inbound &amp; Nội địa</t>
  </si>
  <si>
    <t>Du lịch MICE &amp; Hội nghị</t>
  </si>
  <si>
    <t>Tổ chức Sự kiện (Events)</t>
  </si>
  <si>
    <t>Teambuilding &amp; Gắn kết</t>
  </si>
  <si>
    <t>HÀNH TRÌNH TRỌN VẸN, KÝ ỨC BỀN LÂU</t>
  </si>
  <si>
    <t>kakaotravel_H256_w256.webp</t>
  </si>
  <si>
    <t>cdbdf7c2-7fdc-4d5b-8697-faca30aeb500-removebg-preview.png</t>
  </si>
  <si>
    <t>A032</t>
  </si>
  <si>
    <t>Bành Mạnh Phong</t>
  </si>
  <si>
    <t>c5cd79be-c4de-43ff-b30e-0ae4ea87f3f3_w256.webp</t>
  </si>
  <si>
    <t>AGRIBANK CN PHÚ NHUẬN - PGD PHÚ HƯNG</t>
  </si>
  <si>
    <t>PGD Phú Hưng</t>
  </si>
  <si>
    <t>0100686174-026</t>
  </si>
  <si>
    <t>logo-agribank.jpg</t>
  </si>
  <si>
    <t>135A Phan Đăng Lưu, Phường Cầu Kiệu, TPHCM</t>
  </si>
  <si>
    <t>https://maps.app.goo.gl/NbNhaWD3eg477eFP6</t>
  </si>
  <si>
    <t>0908884232</t>
  </si>
  <si>
    <t>phongbanhmanh@agribank.com.vn</t>
  </si>
  <si>
    <t>84908884232</t>
  </si>
  <si>
    <t>https://agribank.com.vn</t>
  </si>
  <si>
    <t>Tiền gửi</t>
  </si>
  <si>
    <t>Cho vay</t>
  </si>
  <si>
    <t>Tài khoản số đẹp</t>
  </si>
  <si>
    <t>Dịch vụ thẻ</t>
  </si>
  <si>
    <t>Bảo lãnh</t>
  </si>
  <si>
    <t>Thanh toán quốc tế</t>
  </si>
  <si>
    <t>Dịch vụ ngân hàng khác</t>
  </si>
  <si>
    <t>MANG PHỒN THỊNH ĐẾN KHÁCH HÀNG</t>
  </si>
  <si>
    <t>Ông Bành Mạnh Phong, sinh năm 1981 tại Xã Cam Thành - Cam Lộ, Tỉnh Quảng Trị, sau đó theo gia đình vào sinh sống tại Ngãi Giao – Châu Đức – BRVT.
Năm 2003, sau khi tốt nghiệp Đại học Kinh Tế Tp. HCM, ông vào làm việc tại Agribank Phú Nhuận và hiện là Giám đốc Agribank chi nhánh Phú Nhuận – PGD Phú Hưng, tại địa chỉ 135A Phan Đăng Lưu, Phường Cầu Kiệu, TPHCM.
Agribank nói chung, CN Phú Nhuận – PGD Phú Hưng nói riêng cung cấp tất cả các sản phẩm dịch vụ đa đạng cho doanh nghiệp, tổ chức và cá nhân như: Gửi tiền, vay vốn, thanh toán quốc tế, bảo lãnh, thẻ, thanh toán và chuyển tiền, ngân hàng số...
1.Gửi tiền:
-Tiền gửi: cung cấp nhiều loại hình tiền gửi với đa dạng kỳ hạn và hình thức lãi suất, đáp ứng nhu cầu của nhiều đối tượng khách hàng.
-Tài khoản thanh toán: dịch vụ tài khoản thanh toán giúp khách hàng thực hiện các giao dịch nộp, rút tiền, chuyển khoản, thanh toán hóa đơn, …
-Tiền gửi trực tuyến: khác hàng có thể gửi tiền trực tuyến thông qua các kênh ngân hàng điện tử của Agribank.
2.Vay vốn:
-Cung cấp nhiều gói vay với mục đích khác nhau như vay tiêu dùng, vay hạn mức, … hỗ trợ cá nhân, doanh nghiệp tiếp cận vốn vay với các gói vay đa dạng và điều kiện ưu đãi tốt nhất.
-Các gói ưu đãi hiện tại áp dụng như:
+ Gói cho người trẻ tuổi dưới 35 tuổi mua nhà: LS 5,5% cố định 3 năm.
+ Gói vay tiêu dùng dành cho mọi khách hàng: LS 6,2% - 6,5%, cố định 2 năm.
+ Thấu chi tài khoản: LS chỉ từ 6%
+ Lãi suất vay dành cho doanh nghiệp giao động từ 5% đến 6,5%
+ Và nhiều chương trình khác
3.Thanh toán quốc tế:
-Nhận và chuyển tiền kiều hối từ nhiều quốc gia trên thế giới.
-Dịch vụ chuyển tiền thanh toán xuất nhập khẩu….
4.Thẻ:
-Agribank phát hành nhiều loại thẻ, bao gồm thẻ tín dụng và thẻ ghi nợ, với các chương trình ưu đãi và tính năng khác nhau.
5.Thanh toán và chuyển tiền:
-Cung cấp các dịch vụ thanh toán hóa đơn, thanh toán trực tuyến, chuyển tiền trong và ngoài nước, và các dịch vụ thanh toán khác.
6.Bảo lãnh:
- Cung cấp các dịch vụ bảo lãnh cho doanh nghiệp trong các giao dịch thương mại.
7.Ngân hàng số:
-Cung cấp nhiều dịch vụ Ebanking và các dịch vụ trực tuyến khác, dịch vụ ngân hàng tự động Autobank CDM, …
Ngoài lĩnh vực kinh tế tài chính, hàng năm Agribank thực hiện nhiều chương trình an sinh xã hội. Thông qua chương trình “Gieo mầm tri thức”, PGD Phú Hưng đã đồng hành cùng Ngân hàng cấp trên phối hợp cùng báo Tuổi trẻ trao tặng những phần quà cho các học sinh có hoàn cảnh khó khăn, 5 năm liên tiếp đã phối hợp cùng với các ban ngành địa phương tổ chức trao tặng các phần quà cho các em học sinh nghèo, hiếu học tại Tỉnh Quảng Trị, với 200 phần quà mỗi năm.
Qua chương trình, Agribank nói chung và chi nhánh Phú Nhuận nói riêng luôn mong muốn được chia sẻ cùng các em học sinh khắp các địa phương trên cả nước, lan tỏa truyền thống “Ngân hàng vì cộng đồng”.</t>
  </si>
  <si>
    <t>[AGRIBANK - PGD PHÚ HƯNG]
● Địa chỉ: 194 Phan Xích Long, P.2, Q. Phú Nhuận, TP.HCM
● Trực thuộc: Chi nhánh Phú Nhuận
● Lịch làm việc: Thứ 2 - Thứ 6 (Nghỉ T7, CN)
Sáng: 08:00 - 11:30
Chiều: 13:00 - 16:30
DỊCH VỤ TRỌNG TÂM:
Tài khoản &amp; Thẻ (ATM, Visa, Mastercard)
Ngân hàng số (E-Mobile Banking)
Chuyển &amp; Nhận tiền nội địa/quốc tế
Cho vay (Tiêu dùng, Sản xuất kinh doanh)
Gửi tiết kiệm lãi suất ưu đãi
TỔNG QUAN HỆ THỐNG: Agribank là Ngân hàng Thương mại Nhà nước hàng đầu Việt Nam, sở hữu mạng lưới lớn nhất quốc gia với hơn 2.200 điểm giao dịch, cam kết mang đến giải pháp tài chính an toàn và bền vững cho mọi khách hàng.</t>
  </si>
  <si>
    <t>phongbanhmanh@yahoo.com.vn</t>
  </si>
  <si>
    <t>logo-agribank_w256.webp</t>
  </si>
  <si>
    <t>c5cd79be-c4de-43ff-b30e-0ae4ea87f3f3.jpg</t>
  </si>
  <si>
    <t>A033</t>
  </si>
  <si>
    <t>Võ Hữu Bình</t>
  </si>
  <si>
    <t>7c8d043e-76ec-4199-9cc9-636591e86af7-removebg-preview_w256.webp</t>
  </si>
  <si>
    <t>CÔNG TY CP XÂY DỰNG CÔNG TRÌNH CHÂU Á</t>
  </si>
  <si>
    <t>XDCT CHÂU Á</t>
  </si>
  <si>
    <t>0306699346</t>
  </si>
  <si>
    <t>Screenshot 2026-03-17 133117.png</t>
  </si>
  <si>
    <t>15B/71 Lê Thánh Tôn, phường Sài Gòn, HCM</t>
  </si>
  <si>
    <t>0903355366</t>
  </si>
  <si>
    <t>binhcon@gmail.com</t>
  </si>
  <si>
    <t>84903355366</t>
  </si>
  <si>
    <t>https:/fb.com/share/1BqRo9zjyR</t>
  </si>
  <si>
    <t>Xây Dựng dân dụng và Công Nghiệp</t>
  </si>
  <si>
    <t>Xây Dựng Công trình Hạ tầng Viễn thông</t>
  </si>
  <si>
    <t>Screenshot 2026-03-17 133117_w256.webp</t>
  </si>
  <si>
    <t>7c8d043e-76ec-4199-9cc9-636591e86af7-removebg-preview.png</t>
  </si>
  <si>
    <t>A034</t>
  </si>
  <si>
    <t>Hoàng Đức Thắng</t>
  </si>
  <si>
    <t>HOÀNG_ĐỨC_THẮNGs-removebg-preview_w256.webp</t>
  </si>
  <si>
    <t xml:space="preserve">Giám đốc </t>
  </si>
  <si>
    <t>CÔNG TY TNHH NỘI THẤT NHÔM KÍNH THUẬN THẮNG</t>
  </si>
  <si>
    <t>Thuận Thắng</t>
  </si>
  <si>
    <t>0315248741</t>
  </si>
  <si>
    <t>1_58.jpg</t>
  </si>
  <si>
    <t>1187 Tỉnh Lộ 10, Khu Phố 36, Phường Tân Tạo, TP Hồ Chí Minh</t>
  </si>
  <si>
    <t>Xưởng SX: 59/6 Nguyễn Văn Cự, Phường Tân Tạo ,TP. Hồ Chí Minh</t>
  </si>
  <si>
    <t>0984323738</t>
  </si>
  <si>
    <t>thuanthang28@gmail.com</t>
  </si>
  <si>
    <t>84984323738</t>
  </si>
  <si>
    <t>https://nhomkinhthuanthang.com</t>
  </si>
  <si>
    <t>https://fb.com/thuanthang.ltd</t>
  </si>
  <si>
    <t>Chuyên thiết kế thi công nội thất hoàn thiện</t>
  </si>
  <si>
    <t>Sản xuất thi công lắp đặt cửa nhôm kính</t>
  </si>
  <si>
    <t>Gia công các dòng cửa nhôm cao cấp</t>
  </si>
  <si>
    <t>Thi công lắp đặt cửa nhựa composite</t>
  </si>
  <si>
    <t>Ốp trần nhựa PVC , tấm nano, thanh tre</t>
  </si>
  <si>
    <t>NÉT ĐẸP NGÔI NHÀ BẠN</t>
  </si>
  <si>
    <r>
      <rPr>
        <sz val="10"/>
        <rFont val="Arial"/>
      </rPr>
      <t xml:space="preserve">THUẬN THẮNG – ĐƠN VỊ NHÔM KÍNH UY TÍN HÀNG ĐẦU VIỆT NAM
1. Giới thiệu chung
CÔNG TY TNHH NỘI THẤT NHÔM KÍNH THUẬN THẮNG là đơn vị chuyên sản xuất, thiết kế và thi công các sản phẩm nhôm kính cao cấp, bao gồm: cửa nhôm Xingfa, cửa kính cường lực, vách kính, lan can kính, cầu thang kính, mái kính nghệ thuật, giếng trời và các hạng mục kính – nhôm hiện đại khác.
Với hành trình phát triển không ngừng, THUẬN THẮNG đã khẳng định vị thế vững chắc trong ngành nhờ chất lượng sản phẩm vượt trội, quy trình thi công chuẩn mực và dịch vụ khách hàng chuyên nghiệp, tận tâm.
Chúng tôi luôn lấy “Chất lượng – Uy tín – Tận tâm” làm nền tảng cốt lõi để xây dựng thương hiệu bền vững và đáng tin cậy.
2. Tầm nhìn
THUẬN THẮNG hướng tới việc trở thành nhà sản xuất và cung cấp giải pháp nhôm kính uy tín hàng đầu Việt Nam.
Thông qua đầu tư bài bản về công nghệ hiện đại, nguồn nhân lực chất lượng cao và hệ thống phân phối rộng khắp, chúng tôi cam kết mang đến những chuẩn mực mới về chất lượng, tính đồng bộ và độ bền vượt trội trong ngành nhôm kính xây dựng.
Mục tiêu dài hạn là phát triển thương hiệu mang tầm vóc quốc gia, góp phần nâng cao chất lượng các công trình dân dụng và thương mại trên toàn quốc.
3. Sứ mệnh
“Mang đến giải pháp nhôm kính bền đẹp – an toàn – đột phá cho mọi công trình.”
Sứ mệnh cụ thể của THUẬN THẮNG bao gồm:
Cung cấp cửa nhôm đồng bộ, đạt chuẩn kỹ thuật cao, độ bền vượt trội, kín nước và cách âm tối ưu.
Ứng dụng vật liệu kính chất lượng cao, an toàn, thẩm mỹ, phù hợp với xu hướng thiết kế hiện đại.
Xây dựng hệ thống đại lý ủy quyền chính hãng để đưa sản phẩm chính hãng đến tay khách hàng một cách nhanh chóng, minh bạch.
Mang đến dịch vụ chăm sóc khách hàng tận tâm, hỗ trợ toàn diện từ tư vấn, thiết kế, thi công đến bảo hành lâu dài.
Chúng tôi cam kết tạo ra giá trị khác biệt không chỉ cho khách hàng mà còn góp phần nâng tầm ngành vật liệu xây dựng Việt Nam.
4. Giá trị cốt lõi
Chất lượng chuẩn mực: Mọi sản phẩm đều qua quy trình kiểm tra nghiêm ngặt, sử dụng vật liệu chính hãng và phụ kiện đồng bộ.
Uy tín tuyệt đối: Cam kết đúng tiến độ, đúng chất lượng và đúng tiêu chuẩn như đã tư vấn, báo giá.
Thẩm mỹ vượt trội: Đội ngũ thiết kế chú trọng từng chi tiết, đảm bảo sự hài hòa, hiện đại và sang trọng cho mọi công trình.
Dịch vụ tận tâm: Tư vấn rõ ràng, thi công chính xác, bảo hành dài hạn – luôn đặt lợi ích khách hàng lên hàng đầu.
Công nghệ hiện đại: Liên tục cập nhật giải pháp nhôm kính tiên tiến, tối ưu hiệu quả sử dụng và độ bền công trình.
5. Sản phẩm &amp; Dịch vụ trọn gói
THUẬN THẮNG cung cấp đầy đủ các giải pháp:
Cửa nhôm Xingfa
Cửa mở quay
Cửa mở trượt
Cửa lùa treo – cửa lùa xếp
Hệ mặt dựng nhôm kính
Cửa kính cường lực
Cửa bản lề sàn
Cửa trượt – cửa lùa
Cabin tắm kính
Vách kính – Lan can kính – Cầu thang kính (bao gồm: Cầu thang kẹp hông, Cầu thang trụ, Lan can kính) – Tính thẩm mỹ cao, an toàn tuyệt đối, chịu lực vượt trội.
Mái kính – Giếng trời – Kính trang trí – Thiết kế tùy chỉnh, phù hợp từ nhà ở đến biệt thự, công trình thương mại.
Thi công – Lắp đặt – Bảo hành – Đội ngũ kỹ thuật viên chuyên nghiệp, tuân thủ nghiêm ngặt tiêu chuẩn kỹ thuật và an toàn lao động, đảm bảo công trình vận hành bền vững lâu dài.
6. Lý do khách hàng tin chọn THUẬN THẮNG
✔ Sản phẩm chính hãng, chất lượng đạt chuẩn quốc tế.
✔ Giá thành minh bạch, cạnh tranh cao.
✔ Thi công nhanh chóng, đúng kỹ thuật.
✔ Bảo hành dài hạn, hỗ trợ tận nơi.
✔ Kinh nghiệm thi công hàng trăm công trình: nhà phố, biệt thự, văn phòng, showroom, dự án thương mại lớn.
7. Cam kết của THUẬN THẮNG
Chúng tôi cam kết mang đến giải pháp nhôm kính hoàn hảo bằng sự chuyên nghiệp, uy tín và tận tâm. Mỗi công trình của quý khách là trách nhiệm mà THUẬN THẮNG luôn nỗ lực hoàn thành với chất lượng cao nhất.
⭐ THUẬN THẮNG – Nâng tầm không gian, khẳng định giá trị bền vững.
Đặc điểm nổi bật của nhôm kính THUẬN THẮNG
Tính thẩm mỹ cao: Đa dạng kiểu dáng, khung kính lớn, họa tiết tinh tế, mang lại vẻ đẹp hiện đại và lôi cuốn.
Chịu lực tốt: Thanh nhôm đa khoang rỗng, dày dặn, kết hợp kính cường lực đảm bảo độ vững chắc, cách nhiệt, cách âm vượt trội.
Hiệu quả kinh tế cao: Tiết kiệm năng lượng (nhận ánh sáng tự nhiên), độ bền cao trong mọi điều kiện thời tiết, ít bảo dưỡng, phù hợp chung cư, văn phòng, tòa nhà cao tầng.
Một số công trình tiêu biểu
Khu TRẦN ANH – Mỹ Hạnh, Đức Hòa, Long An
Tòa nhà 340 Ung Văn Khiêm, Bình Thạnh, TP.HCM
Lab View, Quận 2, TP.HCM
Và hàng trăm công trình nhà phố, biệt thự, văn phòng, showroom trên cả nước.
Thông tin liên hệ
CÔNG TY TNHH NỘI THẤT NHÔM KÍNH THUẬN THẮNG
Địa chỉ: 1187 Tỉnh Lộ 10, P. Tân Tạo, Q. Bình Tân, TP. Hồ Chí Minh
Hotline 1: 0984.32.37.38 (Zalo Chat)
Hotline 2: 0936.745.113 (Zalo Chat)
Email: thuanthang28@gmail.com
Website: </t>
    </r>
    <r>
      <rPr>
        <u/>
        <sz val="10"/>
        <rFont val="Arial"/>
      </rPr>
      <t>https://nhomkinhthuanthang.com</t>
    </r>
  </si>
  <si>
    <t>1_58_w256.webp</t>
  </si>
  <si>
    <t>HOÀNG_ĐỨC_THẮNGs-removebg-preview.png</t>
  </si>
  <si>
    <t>A035</t>
  </si>
  <si>
    <t>Trần Lê Quyết</t>
  </si>
  <si>
    <t>2981384167114850370_w256.webp</t>
  </si>
  <si>
    <t>Ngân hàng TMCP Ngoại thương Việt Nam - Chi nhánh Thống Nhất</t>
  </si>
  <si>
    <t>Vietcombank</t>
  </si>
  <si>
    <t>0100112437-199</t>
  </si>
  <si>
    <t>logo_VCB_828891.jpg</t>
  </si>
  <si>
    <t>Số 30/11G đường Tô Ký, xã Đông Thạnh, TP. Hồ Chí Minh</t>
  </si>
  <si>
    <t>0907028777</t>
  </si>
  <si>
    <t>tquyet@yahoo.com</t>
  </si>
  <si>
    <t>https://www.vietcombank.com.vn</t>
  </si>
  <si>
    <t>Ngân hàng Bán lẻ</t>
  </si>
  <si>
    <t>Ngân hàng Bán buôn</t>
  </si>
  <si>
    <t>Kinh doanh Vốn</t>
  </si>
  <si>
    <t>Ngoại hối (FX)</t>
  </si>
  <si>
    <t>Thẻ &amp; Thanh toán</t>
  </si>
  <si>
    <t>Ngân hàng Số</t>
  </si>
  <si>
    <t>Tài trợ Thương mại</t>
  </si>
  <si>
    <t>Bảo hiểm (Bancassurance)</t>
  </si>
  <si>
    <t>CHUNG NIỀM TIN - VỮNG TƯƠNG LAI</t>
  </si>
  <si>
    <t>logo_VCB_828891_w256.webp</t>
  </si>
  <si>
    <t>2981384167114850370.jpg</t>
  </si>
  <si>
    <t>A078</t>
  </si>
  <si>
    <t>Linh San</t>
  </si>
  <si>
    <t>9c14ca71-f0ea-405d-bd33-ebe4f9b77cb92_w256.webp</t>
  </si>
  <si>
    <t>Chủ HKD</t>
  </si>
  <si>
    <t>HỘ DOANH NGHIỆP CÁ NHÂN LINH SAN</t>
  </si>
  <si>
    <t>LINH SAN</t>
  </si>
  <si>
    <t>LinhSanLogo.png</t>
  </si>
  <si>
    <t>Khu đô thị Vinhomes, Phường Bình Thạnh, TP. Hồ Chí Minh</t>
  </si>
  <si>
    <t>https://maps.app.goo.gl/sgmrNXD3inSMHgjB8</t>
  </si>
  <si>
    <t>0852744515</t>
  </si>
  <si>
    <t>tinhlaflower@gmail.com</t>
  </si>
  <si>
    <t>https://fb.com/LinhSan335555</t>
  </si>
  <si>
    <t>Hoa Khai trương, Sinh nhật &amp; Sự kiện</t>
  </si>
  <si>
    <t>Cung cấp Ca sĩ, MC &amp; Người mẫu</t>
  </si>
  <si>
    <t>Hoa Chúc mừng, Kỷ niệm &amp; Trang trí</t>
  </si>
  <si>
    <t>Band nhạc, Dancer &amp; Nghệ sĩ biểu diễn</t>
  </si>
  <si>
    <t>Tổ chức Nghệ thuật &amp; Giải trí</t>
  </si>
  <si>
    <t>Nhân sự PG &amp; Nhân sự Sự kiện (Staff)</t>
  </si>
  <si>
    <t>TINH TẾ ĐẾN TỪNG HƯƠNG HOA</t>
  </si>
  <si>
    <r>
      <rPr>
        <sz val="10"/>
        <rFont val="Arial"/>
      </rPr>
      <t xml:space="preserve">💎 PROFILE LINH SAN
1. Hoạt động Cộng đồng &amp; Danh hiệu
Thành viên chính thức: CLB Doanh nhân Quảng Trị.
Danh hiệu: Đại sứ Áo dài 2021 | Top 15 Miss Teen 2022.
Dấu ấn: Nghệ sĩ biểu diễn chủ chốt và Đơn vị thiết kế hoa độc quyền cho nhiều sự kiện lớn của CLB &amp; các Doanh nghiệp thành viên.
2. Chân dung Nghệ thuật (Linh San)
Vai trò: Ca sĩ (Dòng nhạc nhẹ) • Người mẫu • Performer (TVC &amp; Fashion).
Đặc điểm: Giọng hát ngọt ngào, phong cách tinh tế, mang đậm tâm hồn người con đất Quảng Trị.
3. Hệ sinh thái Kinh doanh &amp; Giải trí
TINH LA FLOWER: Chuyên thiết kế hoa cao cấp (Khai trương, Sinh nhật, Sự kiện, Kỷ niệm).
LINH SAN BAND: Cung cấp nhân sự giải trí chuyên nghiệp (Ca sĩ, MC, Người mẫu, Band nhạc, Dancer, PG).
Địa chỉ: KĐT Vinhomes Grand Park, P. Long Bình, TP.HCM.
4. Các lĩnh vực kinh doanh cốt lõi
Hoa Khai trương, Sinh nhật &amp; Sự kiện
Hoa Chúc mừng, Kỷ niệm &amp; Trang trí
Cung cấp Ca sĩ, MC &amp; Người mẫu
Band nhạc, Dancer &amp; Nghệ sĩ biểu diễn
Tổ chức Nghệ thuật &amp; Giải trí
Nhân sự PG &amp; Nhân sự Sự kiện (Staff)
5. Thông tin Liên hệ (Contact)
Hotline: 085 2744 515
Email: tinhlaflower@gmail.com | linhsan5555@gmail.com
Facebook: </t>
    </r>
    <r>
      <rPr>
        <u/>
        <sz val="10"/>
        <rFont val="Arial"/>
      </rPr>
      <t>fb.com/LinhSan335555</t>
    </r>
  </si>
  <si>
    <t>LinhSanLogo_w256.webp</t>
  </si>
  <si>
    <t>9c14ca71-f0ea-405d-bd33-ebe4f9b77cb92.jpg</t>
  </si>
  <si>
    <t>A037</t>
  </si>
  <si>
    <t>Nguyễn Đức Sơn</t>
  </si>
  <si>
    <t>A016_NGUYỄN_ĐỨC_SƠN-removebg-preview_w256.webp</t>
  </si>
  <si>
    <t>Tổng Giám đốc</t>
  </si>
  <si>
    <t>CÔNG TY CỔ PHẦN ĐIỆN VÀ CHIẾU SÁNG PHƯỚC MỸ</t>
  </si>
  <si>
    <t>PHUOC MY JSC</t>
  </si>
  <si>
    <t>0314187951</t>
  </si>
  <si>
    <t>Banner2.png</t>
  </si>
  <si>
    <t>169 đường Lê Thiệt, phường Phú Thọ Hoà, TP. Hồ Chí Minh</t>
  </si>
  <si>
    <t>0963114268</t>
  </si>
  <si>
    <t>phuocmycodien@gmail.com</t>
  </si>
  <si>
    <t>84963114268</t>
  </si>
  <si>
    <t>https://phuocmy.com.vn</t>
  </si>
  <si>
    <t>https://fb.com/www.phuocmy.com.vn</t>
  </si>
  <si>
    <t>Phân phối thiết bị điện &amp; Solar</t>
  </si>
  <si>
    <t>Sản xuất phụ kiện lưới điện</t>
  </si>
  <si>
    <t>Gia công tủ bảng điện &amp; thang máng cáp</t>
  </si>
  <si>
    <t>Gia công cơ khí &amp; Kết cấu thép</t>
  </si>
  <si>
    <t>Trạm biến áp &amp; Đường dây đến 35kV</t>
  </si>
  <si>
    <t>Điện năng lượng mặt trời</t>
  </si>
  <si>
    <t>Chiếu sáng công cộng</t>
  </si>
  <si>
    <t>M&amp;E tòa nhà &amp; Nhà xưởng</t>
  </si>
  <si>
    <t>ISO 9001 - 2015</t>
  </si>
  <si>
    <t>CÔNG TY CỔ PHẦN ĐIỆN VÀ CHIẾU SÁNG PHƯỚC MỸ
"Sự hài lòng của Khách hàng là thành công của chúng tôi"
1. GIỚI THIỆU CHUNG
Được thành lập từ năm 2017, Phước Mỹ là doanh nghiệp uy tín tại TP.HCM chuyên cung cấp giải pháp tổng thể trong lĩnh vực Cơ Điện (M&amp;E). Với đội ngũ nhân sự năng động và dày dặn kinh nghiệm, chúng tôi cam kết mang đến những sản phẩm ưu việt, giá cả hợp lý và dịch vụ kỹ thuật hoàn hảo nhất.
2. LĨNH VỰC KINH DOANH TRỌNG TÂM
Hệ thống điện: Tư vấn thiết kế, thi công trạm biến áp và đường dây trung hạ áp đến 35kV.
Điện công nghiệp &amp; Dân dụng: Lắp đặt hệ thống điện nhà xưởng, tòa nhà (Building).
Năng lượng tái tạo: Thi công hệ thống điện năng lượng mặt trời (Solar).
Hệ thống kỹ thuật: Phòng cháy chữa cháy (PCCC), Chống sét, Thông gió và Điều hòa không khí (HVAC).
Hạ tầng công cộng: Hệ thống chiếu sáng đường phố và hệ thống tưới tiêu tự động.
Bảo trì: Dịch vụ bảo trì, bảo dưỡng nhà máy và hệ thống điện công nghiệp.
3. SẢN PHẨM &amp; PHÂN PHỐI CHÍNH HÃNG
Dây cáp điện: Cadivi, Daphaco, Thiphaco, Taya, Taiphaco...
Thiết bị đóng cắt: ABB, Mitsubishi, Schneider, LS, Fuji, Idec, Shilin...
Thiết bị trung thế: Recloser, LBS, DS, FCO, LA...
Thiết bị chiếu sáng: Philips, Điện Quang, Osram, Sulimax...
4. THÔNG TIN LIÊN HỆ &amp; GIAO DỊCH
Địa chỉ: Số 169 đường Lê Thiệt, P. Phú Thọ Hòa, Q. Tân Phú, TP. HCM
Hotline: 0963.114.268
Email: phuocmycodien@gmail.com
Mã số thuế: 0314187951
Số tài khoản: 1001.111.789.789 – Ngân hàng MB Bank (CN TP.HCM)
PHƯỚC MỸ – KẾT NỐI NGUỒN SÁNG, KIẾN TẠO TƯƠNG LAI!</t>
  </si>
  <si>
    <t>phuocmy.gd@gmail.com</t>
  </si>
  <si>
    <t>Banner2_w256.webp</t>
  </si>
  <si>
    <t>A016_NGUYỄN_ĐỨC_SƠN-removebg-preview.png</t>
  </si>
  <si>
    <t>A038</t>
  </si>
  <si>
    <t>Võ Thành Đạt</t>
  </si>
  <si>
    <t>229fad04-5a3b-4833-9767-0bb4ff58ec7f_w256.webp</t>
  </si>
  <si>
    <t>CÔNG TY CP KINH DOANH WESTLAND</t>
  </si>
  <si>
    <t>WESTLAND</t>
  </si>
  <si>
    <t>0314591579</t>
  </si>
  <si>
    <t>LOGO-WESTLANDs.png</t>
  </si>
  <si>
    <t>450 Đường số 7, Phường An Lạc, TP. Hồ Chí Minh</t>
  </si>
  <si>
    <t>0936203205</t>
  </si>
  <si>
    <t>vothanhdat@gmail.com</t>
  </si>
  <si>
    <t>84936203205</t>
  </si>
  <si>
    <t>https://westland.vn</t>
  </si>
  <si>
    <t>Đầu tư phát triển dự án</t>
  </si>
  <si>
    <t>Tiếp thị &amp; Phân phối BĐS</t>
  </si>
  <si>
    <t>Bất động sản Khu Tây</t>
  </si>
  <si>
    <t>Bất động sản Sinh thái</t>
  </si>
  <si>
    <t>Căn hộ &amp; Chung cư cao cấp</t>
  </si>
  <si>
    <t>Đất nền &amp; Nhà phố dự án</t>
  </si>
  <si>
    <t>Quản lý &amp; Khai thác tài sản</t>
  </si>
  <si>
    <t>CHUYÊN NGHIỆP TẬN TÂM, NÂNG TẦM DỰ ÁN</t>
  </si>
  <si>
    <t>CÔNG TY CỔ PHẦN KINH DOANH WESTLAND
"Khẳng định giá trị vượt trội – Bảo chứng niềm tin bất động sản"
GIỚI THIỆU CHUNG
Thành lập từ năm 2017, Westland đã từng bước khẳng định vị thế là đơn vị tư vấn và phân phối bất động sản uy tín hàng đầu, đặc biệt tại khu vực phía Tây TP.HCM và Long An. Với đội ngũ lãnh đạo tầm nhìn và đội ngũ chuyên viên am hiểu thị trường, Westland cam kết mang đến cho khách hàng những sản phẩm có pháp lý minh bạch và tiềm năng sinh lời vượt trội.
THÀNH TỰU NỔI BẬT
Vào ngày 3/12/2025, Westland vinh dự được trao tặng danh hiệu "Top 5 đơn vị tư vấn phát triển dự án hàng đầu Vùng động lực phía Nam năm 2025". Đây là minh chứng cho năng lực và sự tín nhiệm của đối tác dành cho thương hiệu Westland.
ĐỐI TÁC &amp; DỰ ÁN CHIẾN LƯỢC
Westland tự hào là đối tác chiến lược của các tập đoàn lớn như: Vinhomes, Ecopark, Trần Anh Group, Cát Tường Group, Seaholdings, MIK...
Các dự án tiêu biểu đang triển khai: Eco Retreat Thanh Phú, Vinhomes Green City Hậu Nghĩa, Destino Centro, Conic Boulevard, Kinghill Residences, Phúc An City.
GIÁ TRỊ CỐT LÕI (TÂM - TÍN - TÀI - TẦM)
Chữ Tâm: Phục vụ bằng sự chân thành và thẳng thắn.
Chữ Tín: Đảm bảo chất lượng, giá cả và hỗ trợ pháp lý xuyên suốt.
Chữ Tài: Đội ngũ nhân sự nhiệt huyết, chuyên môn cao.
Chữ Tầm: Khẳng định giá trị vượt trội của đơn vị phân phối hàng đầu Việt Nam.
THÔNG TIN LIÊN HỆ
Địa chỉ: 450 đường số 7, P. Bình Trị Đông B, Q. Bình Tân, TP. HCM
Hotline: 0901.450.450
Lĩnh vực: Đầu tư - Tiếp thị - Phân phối Bất động sản.</t>
  </si>
  <si>
    <t>LOGO-WESTLANDs_w256.webp</t>
  </si>
  <si>
    <t>229fad04-5a3b-4833-9767-0bb4ff58ec7f.jpg</t>
  </si>
  <si>
    <t>Nguyễn Anh Hiệp</t>
  </si>
  <si>
    <t>NGUYỄN ANH HIỆP_w256.webp</t>
  </si>
  <si>
    <t>CÔNG TY TNHH AUTOZONE8 &amp; CTY TNHH HDB PAINT</t>
  </si>
  <si>
    <t>AUTOZONE8 &amp; HDB PAINT</t>
  </si>
  <si>
    <t>0315566991</t>
  </si>
  <si>
    <t>1_7.jpg</t>
  </si>
  <si>
    <t>Hẻm C7D Phạm Hùng, Xã Bình Hưng, Thành phố Hồ Chí Minh, Việt Nam</t>
  </si>
  <si>
    <t>0986793977</t>
  </si>
  <si>
    <t>hiepnguyenautozone8@gmail.com</t>
  </si>
  <si>
    <t>84986793977</t>
  </si>
  <si>
    <t>https://fb.com/p/AutoZone8-100063561952165</t>
  </si>
  <si>
    <t>Chuyên chăm sóc xe ô tô</t>
  </si>
  <si>
    <t>Gara chuyên đồng sơn gầm máy</t>
  </si>
  <si>
    <t>Bán buôn ô tô và xe có động cơ</t>
  </si>
  <si>
    <t>Bán phụ tùng và các bộ phận phụ trợ</t>
  </si>
  <si>
    <t>Bảo hiểm liên kết cho xe ô tô</t>
  </si>
  <si>
    <t>In ấn &amp; sơn công nghiệp</t>
  </si>
  <si>
    <t>Gia công cơ khí, xử lý tráng phủ kim loại</t>
  </si>
  <si>
    <t>Bán buôn vật liệu, thiết bị</t>
  </si>
  <si>
    <t>1_7_w256.webp</t>
  </si>
  <si>
    <t>NGUYỄN ANH HIỆP.png</t>
  </si>
  <si>
    <t>A040</t>
  </si>
  <si>
    <t>Phạm Ngọc Chinh</t>
  </si>
  <si>
    <t>61wsns_w256.webp</t>
  </si>
  <si>
    <t>Chủ hộ Kinh doanh</t>
  </si>
  <si>
    <t>HKD CƠ SỞ SẢN XUẤT RƯỢU TRUYỀN THỐNG TRƯỜNG CHINH</t>
  </si>
  <si>
    <t>Rượu Trường Chinh</t>
  </si>
  <si>
    <t>044074001965</t>
  </si>
  <si>
    <t>ff3afa64-08be-4e4c-8d6a-c73c4a3f4081.jpg</t>
  </si>
  <si>
    <t>Số 63, đường Phan Đình Phùng,Tổ dân phố 2, Phường Đồng Thuận, Quảng Trị</t>
  </si>
  <si>
    <t>0774582777</t>
  </si>
  <si>
    <t>ruoutruongchinh99@gmail.com</t>
  </si>
  <si>
    <t>84774582777</t>
  </si>
  <si>
    <t>zalo.me/0774582777</t>
  </si>
  <si>
    <t>Rượu nếp đạt chuẩn OCOP</t>
  </si>
  <si>
    <t>Rượu Sim &amp; Rượu Sâm Cau</t>
  </si>
  <si>
    <t>Rượu Ba Kích &amp; Đinh Lăng</t>
  </si>
  <si>
    <t>Rượu nếp cẩm &amp; Nếp cái hoa vàng</t>
  </si>
  <si>
    <t>Phân phối thùng gỗ sồi D.Cheery</t>
  </si>
  <si>
    <t>Chum sành ngâm rượu cao cấp</t>
  </si>
  <si>
    <t>Thảo dược &amp; Sâm quý các loại</t>
  </si>
  <si>
    <t>Dịch vụ Ship rượu tận bàn</t>
  </si>
  <si>
    <t>TRỌN VỊ TRUYỀN THỐNG, SẠCH TỪ TÂM</t>
  </si>
  <si>
    <t>CƠ SỞ SẢN XUẤT RƯỢU TRUYỀN THỐNG TRƯỜNG CHINH
"Tinh hoa rượu Việt – An toàn cho sức khỏe"
GIỚI THIỆU CHUNG
Rượu truyền thống Trường Chinh là thương hiệu uy tín tại Quảng Bình, tự hào sở hữu các dòng sản phẩm đạt chứng nhận OCOP và Sản phẩm Công nghiệp Nông thôn tiêu biểu (CNNNT). Với bí quyết nấu rượu truyền thống kết hợp quy trình xử lý hiện đại, chúng tôi cam kết mang đến những giọt rượu thơm nồng, đậm đà nhưng vẫn đảm bảo an toàn tuyệt đối cho người tiêu dùng.
QUY TRÌNH CHẾ BIẾN KHẮT KHE
Điểm khác biệt giúp Rượu Trường Chinh chinh phục những thực khách khó tính nhất chính là quy trình lọc sạch độc tố (Aldehyde), loại bỏ tạp chất hữu cơ và axit béo ngay sau khi nấu. Rượu sau đó được hạ thổ trong chum sành trong một thời gian dài để đạt độ êm, giảm nồng gắt trước khi đưa ra thị trường.
HỆ SINH THÁI SẢN PHẨM
Không chỉ cung cấp rượu nếp trắng thuần khiết, Trường Chinh còn là địa chỉ tin cậy cung cấp các loại thảo dược quý như Sâm Ngọc Linh, Sâm Cau rừng Trường Sơn, Tam Thất, Ba Kích và Sim rừng Quảng Hợp. Ngoài ra, chúng tôi còn phân phối thùng gỗ sồi D.Cheery đẳng cấp và các loại chum sành chất lượng cao, giúp khách hàng hoàn thiện những "tác phẩm" rượu ngâm tuyệt hảo ngay tại nhà.
THÔNG TIN LIÊN HỆ
Địa chỉ: 63 Phan Đình Phùng, TP. Đồng Hới, Tỉnh Quảng Bình
Hotline/Zalo: 0774.582.777
Email: ruoutruongchinh99@gmail.com</t>
  </si>
  <si>
    <t>ff3afa64-08be-4e4c-8d6a-c73c4a3f4081_w256.webp</t>
  </si>
  <si>
    <t>61wsns.jpg</t>
  </si>
  <si>
    <t>A041</t>
  </si>
  <si>
    <t>Võ Kim Phượng</t>
  </si>
  <si>
    <t>AMou7_w256.webp</t>
  </si>
  <si>
    <t>Công ty TNHH Môi Giới bảo hiểm Willis Towers Watson Việt Nam</t>
  </si>
  <si>
    <t>Willis Towers Watson VN</t>
  </si>
  <si>
    <t>8e9f046e-f868-4f1a-8e17-24d94e265be0.jpg</t>
  </si>
  <si>
    <t>Saigon Trade Center, số 37 Tôn Đức Thắng, Phường Sài Gòn, TP. HCM</t>
  </si>
  <si>
    <t>Tòa nhà CornerStone, Số 16 Phan Chu Trinh, Phường Cửa Nam, Hà Nội</t>
  </si>
  <si>
    <t>0989030393</t>
  </si>
  <si>
    <t>phuong.vo@wtwco.com</t>
  </si>
  <si>
    <r>
      <rPr>
        <u/>
        <sz val="10"/>
        <rFont val="Arial"/>
      </rPr>
      <t>wtwco.com</t>
    </r>
  </si>
  <si>
    <t>Tư vấn &amp; Môi giới bảo hiểm</t>
  </si>
  <si>
    <t>Quản trị rủi ro doanh nghiệp</t>
  </si>
  <si>
    <t>Tư vấn bồi thường bảo hiểm</t>
  </si>
  <si>
    <t>Bảo hiểm Định chế tài chính</t>
  </si>
  <si>
    <t>Bảo hiểm rủi ro An ninh mạng</t>
  </si>
  <si>
    <t>Tư vấn sức khỏe &amp; Phúc lợi</t>
  </si>
  <si>
    <t>Giải pháp rủi ro Tài sản &amp; Hàng hải</t>
  </si>
  <si>
    <t>Phân tích &amp; Thiết kế nguồn nhân lực</t>
  </si>
  <si>
    <t>CÔNG TY TNHH MÔI GIỚI BẢO HIỂM WILLIS TOWERS WATSON VIỆT NAM (WTW)
"Góc nhìn tạo ra khác biệt – Kiến tạo thành công bền vững"
GIỚI THIỆU CHUNG
Willis Towers Watson (WTW) là tập đoàn tư vấn, môi giới và giải pháp hàng đầu thế giới với lịch sử gần hai thế kỷ. Tại Việt Nam, WTW khẳng định vị thế là đối tác chiến lược tin cậy, giúp các doanh nghiệp dẫn đầu khai thác hiệu quả nguồn nhân lực, quản trị rủi ro và vận dụng vốn một cách tối ưu. Với triết lý "Góc nhìn tạo ra khác biệt", chúng tôi biến những thách thức phức tạp nhất thành cơ hội hành động thông qua các giải pháp dựa trên dữ liệu và định hướng chuyên sâu.
NĂNG LỰC VÀ GIẢI PHÁP
WTW Việt Nam mang đến sự kết hợp hoàn hảo giữa tiêu chuẩn quốc tế và sự am hiểu tường tận thị trường địa phương. Chúng tôi cung cấp cái nhìn 360 độ về rủi ro, từ bảo hiểm trách nhiệm, tài sản, hàng hải đến các rủi ro đặc thù như an ninh mạng và định chế tài chính. Với sự dẫn dắt của đội ngũ chuyên gia giàu kinh nghiệm, tiêu biểu là bà Võ Kim Phượng - Giám đốc Toàn quốc mảng Bảo hiểm Định chế Tài chính và Đặc thù, WTW cam kết bảo vệ lợi ích tối đa và tối ưu hóa chi phí quản trị rủi ro cho khách hàng.
GIÁ TRỊ CỐT LÕI
Mọi hoạt động của WTW đều xoay quanh 5 giá trị kim chỉ nam: Tập trung vào khách hàng, Tinh thần làm việc nhóm, Sự chính trực, Tôn trọng lẫn nhau và Không ngừng theo đuổi sự xuất sắc. chúng tôi không chỉ cung cấp sản phẩm bảo hiểm mà còn đồng hành như một đối tác thực thụ để cùng doanh nghiệp kiến tạo tương lai.
THÔNG TIN LIÊN HỆ
Trụ sở chính: 37 Tôn Đức Thắng, Phường Sài Gòn, TP. HCM.
Văn phòng Hà Nội: Tòa nhà CornerStone, Số 16 Phan Chu Trinh, Phường Cửa Nam, Hà Nội.
Đại diện: Bà Võ Kim Phượng – Giám đốc Toàn quốc.
Hotline: 0989 030 393 | Email: phuong.vo@wtwco.com</t>
  </si>
  <si>
    <t>8e9f046e-f868-4f1a-8e17-24d94e265be0_w256.webp</t>
  </si>
  <si>
    <t>AMou7.jpg</t>
  </si>
  <si>
    <t>A042</t>
  </si>
  <si>
    <t>Nguyễn Thanh Quân</t>
  </si>
  <si>
    <t>AWAXDs_w256.webp</t>
  </si>
  <si>
    <t>CÔNG TY TNHH THƯƠNG MẠI ĐẦU TƯ TÂN XUÂN GROUP</t>
  </si>
  <si>
    <t>Tân Xuân Group</t>
  </si>
  <si>
    <t>0315318011</t>
  </si>
  <si>
    <t>fae6e73ecb31606f3920.jpg</t>
  </si>
  <si>
    <t>26 Ấp Chánh 1, Xã Hóc Môn, TP. Hồ Chí Minh</t>
  </si>
  <si>
    <t>https://maps.app.goo.gl/jgFcvebuHD7ixwQZA</t>
  </si>
  <si>
    <t>0979139389</t>
  </si>
  <si>
    <t>nguyenthanhquank9@gmail.com</t>
  </si>
  <si>
    <t>84979139389</t>
  </si>
  <si>
    <t>https://tonsky.vn</t>
  </si>
  <si>
    <t>Tôn lạnh màu Sky</t>
  </si>
  <si>
    <t>Tôn lạnh mạ hợp kim</t>
  </si>
  <si>
    <t>Tôn Panel cách nhiệt</t>
  </si>
  <si>
    <t>Cửa cuốn công nghệ mới</t>
  </si>
  <si>
    <t>Khung trần mạ kẽm</t>
  </si>
  <si>
    <t>Tôn xuất khẩu tiêu chuẩn JIS</t>
  </si>
  <si>
    <t>Tư vấn giải pháp tôn mạ</t>
  </si>
  <si>
    <t>Cung ứng vật liệu xây dựng</t>
  </si>
  <si>
    <t>HẠNH PHÚC KHI ĐƯỢC ĐỒNG HÀNH CÙNG BẠN</t>
  </si>
  <si>
    <t>CÔNG TY TNHH THƯƠNG MẠI ĐẦU TƯ TÂN XUÂN GROUP
"Hạnh phúc khi được đồng hành cùng bạn!"
GIỚI THIỆU CHUNG
Công ty TNHH Thương Mại Đầu Tư Tân Xuân Group là doanh nghiệp uy tín trong lĩnh vực xây dựng, chuyên cung cấp các giải pháp tôn mạ chất lượng cao cho thị trường Việt Nam và quốc tế. Với nhãn hiệu chính thức là Tôn Sky, chúng tôi tự hào mang đến những sản phẩm được sản xuất trên dây chuyền công nghệ hiện đại, đồng bộ và tiên tiến nhất hiện nay. Tân Xuân Group không chỉ cung cấp vật liệu mà còn cung cấp sự an tâm cho mọi công trình thông qua các sản phẩm có độ bền vững và thẩm mỹ vượt trội.
TIÊU CHUẨN KỸ THUẬT &amp; CHẤT LƯỢNG
Sản phẩm Tôn Sky được sản xuất khắt khe theo tiêu chuẩn Nhật Bản (JIS G3321, G3322), đáp ứng đầy đủ các yêu cầu kỹ thuật và an toàn trong xây dựng dân dụng lẫn công nghiệp. Với đội ngũ nhân sự có chuyên môn sâu và bề dày kinh nghiệm, chúng tôi cam kết cung cấp những sản phẩm có giá trị bền vững, thân thiện với môi trường và mang lại hiệu quả kinh tế tối ưu cho khách hàng.
TRIẾT LÝ KINH DOANH
Tân Xuân Group hoạt động dựa trên triết lý "Tin cậy – Vững bền – Thành công". Chúng tôi luôn hướng tới khách hàng bằng chính sách bán hàng linh hoạt, dịch vụ hậu mãi chu đáo và cam kết chất lượng ưu việt với giá thành cạnh tranh nhất trong phân khúc.
THÔNG TIN LIÊN HỆ
Địa chỉ: 26 Ấp Chánh 1, xã Hóc Môn, TP. Hồ Chí Minh
Hotline: 0869 091 091 – 0979 139 389
Website: tonsky.vn
Mã số thuế: 0315318011</t>
  </si>
  <si>
    <t>fae6e73ecb31606f3920_w256.webp</t>
  </si>
  <si>
    <t>AWAXDs.jpg</t>
  </si>
  <si>
    <t>A043</t>
  </si>
  <si>
    <t>Lê Văn Hưng</t>
  </si>
  <si>
    <t>A029_LÊ_HƯNG-removebg-preview_w256.webp</t>
  </si>
  <si>
    <t>CÔNG TY TNHH XÂY DỰNG SẢN XUẤT CƠ KHÍ HƯNG THỊNH</t>
  </si>
  <si>
    <t>Cơ khí Hưng Thịnh</t>
  </si>
  <si>
    <t>0311264044</t>
  </si>
  <si>
    <t>images.png</t>
  </si>
  <si>
    <t>Số 46 đường 12, KDC Hiệp Bình Phước, KP2, Phường Hiệp Bình, TP Hồ Chí Minh</t>
  </si>
  <si>
    <t>0931899789</t>
  </si>
  <si>
    <t>hung.le0434@gmail.com</t>
  </si>
  <si>
    <t>84931899789</t>
  </si>
  <si>
    <t>cokhihungthinh.vn</t>
  </si>
  <si>
    <t>Thiết kế kết cấu thép</t>
  </si>
  <si>
    <t>Sản xuất &amp; Lắp dựng nhà xưởng</t>
  </si>
  <si>
    <t>Gia công cơ khí chính xác</t>
  </si>
  <si>
    <t>Hệ thống kèo thép tiền chế</t>
  </si>
  <si>
    <t>Lan can &amp; Cầu thang thoát hiểm</t>
  </si>
  <si>
    <t>Thi công mái Canopy</t>
  </si>
  <si>
    <t>Xây dựng công trình công nghiệp</t>
  </si>
  <si>
    <t>Bảo trì &amp; Sửa chữa cơ khí</t>
  </si>
  <si>
    <t>VỮNG KẾT CẤU, BỀN TƯƠNG LAI</t>
  </si>
  <si>
    <t>CÔNG TY TNHH XÂY DỰNG SẢN XUẤT CƠ KHÍ HƯNG THỊNH
"Khẳng định vị thế qua từng công trình – Chất lượng kiến tạo niềm tin"
GIỚI THIỆU CHUNG
Được thành lập từ năm 2002, Công ty TNHH Xây dựng Sản xuất Cơ khí Hưng Thịnh là một trong những đơn vị có bề dày kinh nghiệm trong lĩnh vực gia công cơ khí và xây dựng kết cấu thép tại Việt Nam. Với hơn 20 năm phát triển và tích lũy, Hưng Thịnh đã khẳng định được vị thế riêng thông qua việc thực hiện thành công hàng trăm dự án nhà xưởng, hạ tầng kỹ thuật trên toàn quốc, đảm bảo các tiêu chuẩn khắt khe nhất về an toàn và kỹ thuật công nghiệp.
NĂNG LỰC SẢN XUẤT &amp; THI CÔNG
Chúng tôi sở hữu xưởng sản xuất hiện đại tại Quốc lộ 13 cùng đội ngũ nhân sự chuyên môn cao. Thế mạnh của Hưng Thịnh nằm ở quy trình khép kín từ thiết kế, gia công chế tạo đến lắp dựng hoàn thiện. Các sản phẩm chủ lực bao gồm: Hệ thống kết cấu thép nhà xưởng, kèo thép tiền chế, các hạng mục phụ trợ công trình như lan can, cầu thang thoát hiểm và hệ thống mái Canopy.
CAM KẾT THƯƠNG HIỆU
Nâng cao chất lượng: Không ngừng đổi mới tư duy và công nghệ để mang lại hiệu quả tốt nhất cho dự án.
Tiến độ &amp; An toàn: Đảm bảo bàn giao công trình đúng thời hạn với sự chuẩn xác tuyệt đối trong thi công.
Sự hài lòng của đối tác: Luôn nỗ lực để đáp ứng mọi yêu cầu khắt khe và niềm tin của quý khách hàng cũng như cộng đồng xã hội.
THÔNG TIN LIÊN HỆ
Số 46 đường 12, Khu Nhà Ở Hiệp Bình Phước, khu phố 2, Phường Hiệp Bình, TP Hồ Chí Minh, Việt Nam
Xưởng SX: Số 911 Quốc lộ 13, TP. Hồ Chí Minh
Hotline: 0931 899 789 (Mr. Lê Văn Hưng)
Website: cokhihungthinh.vn
Email: phamkimquang1975@gmail.com</t>
  </si>
  <si>
    <t>phamkimquang1975@gmail.com</t>
  </si>
  <si>
    <t>images_w256.webp</t>
  </si>
  <si>
    <t>A029_LÊ_HƯNG-removebg-preview.png</t>
  </si>
  <si>
    <t>A044</t>
  </si>
  <si>
    <t>Khắc Thị Lựu</t>
  </si>
  <si>
    <t>52113275-55f7-4e2f-b384-2964af11d1e0_w256.webp</t>
  </si>
  <si>
    <t>HỘ KINH DOANH KHẮC THỊ LỰU</t>
  </si>
  <si>
    <t>Nana Lựu</t>
  </si>
  <si>
    <t>1fc49257-a173-4fe4-9d39-92ea1e435810.jpg</t>
  </si>
  <si>
    <t xml:space="preserve">Kon Tum, Quảng Ngãi </t>
  </si>
  <si>
    <t>0989705444</t>
  </si>
  <si>
    <t>nanaluu1988@gmail.com</t>
  </si>
  <si>
    <t>84989705444</t>
  </si>
  <si>
    <t>https://fb.com/luu.khac.3</t>
  </si>
  <si>
    <t>Sâm Ngọc Linh &amp; Sâm dây</t>
  </si>
  <si>
    <t>Nấm Lim xanh &amp; Linh chi</t>
  </si>
  <si>
    <t>Ba kích tím &amp; Sâm cau</t>
  </si>
  <si>
    <t>Rượu ngâm dược liệu quý</t>
  </si>
  <si>
    <t>Thịt heo gác bếp</t>
  </si>
  <si>
    <t>Măng khô &amp; Chuối hột rừng</t>
  </si>
  <si>
    <t>Mật ong rừng &amp; Lan kim tuyến</t>
  </si>
  <si>
    <t>Sỉ &amp; Lẻ dược liệu Kon Tum</t>
  </si>
  <si>
    <t>DƯỢC LIỆU &amp; ĐẶC SẢN TÂY NGUYÊN – CHUYÊN SỈ &amp; LẺ NGUỒN HÀNG KON TUM CHÍNH GỐC
"Tinh túy đại ngàn – Gói trọn tinh hoa sức khỏe và ẩm thực"
GIỚI THIỆU CHUNG
Chúng tôi tự hào là đơn vị uy tín tại Kon Tum, chuyên cung cấp hệ sinh thái sản phẩm từ dược liệu quý hiếm đến đặc sản núi rừng Tây Nguyên. Với lợi thế vùng nguyên liệu chính gốc, chúng tôi cam kết mang đến những báu vật của đại ngàn như Sâm Ngọc Linh (Quốc bảo Việt Nam) và các dòng sâm dây, nấm quý đạt chuẩn chất lượng cao nhất. Sản phẩm của chúng tôi không chỉ là vị thuốc bổ dưỡng mà còn là món quà ý nghĩa, kết tinh từ sự tận tâm và tình yêu với sản vật quê hương.
DANH MỤC SẢN PHẨM THƯỢNG HẠNG
Dòng Sâm &amp; Dược liệu: Chuyên sâu Sâm Ngọc Linh, Sâm dây Ngọc Linh (Tươi &amp; Khô), Sâm cau, Ba kích tím, Nấm Lim xanh và Nấm Linh chi rừng. Đây là những nguồn dược liệu quý giúp bồi bổ sức khỏe, tăng cường sinh lực và hỗ trợ điều trị bệnh hiệu quả.
Rượu ngâm dược liệu: Các bình rượu được phối trộn theo tỷ lệ chuẩn, ngâm ủ kỹ lưỡng từ sâm quý và thảo dược rừng, sẵn sàng phục vụ quý khách thưởng thức hoặc biếu tặng.
Ẩm thực &amp; Đặc sản rừng: Cung cấp thịt heo gác bếp đậm đà vị núi rừng, măng khô sạch, chuối hột rừng và mật ong nguyên chất. Đây là những hương vị đặc trưng, tinh khiết, không chất bảo quản, mang đậm bản sắc Tây Nguyên.
CAM KẾT CHẤT LƯỢNG
Chúng tôi lấy "Khách thương" làm động lực, cam kết 100% hàng chuẩn nguồn gốc Kon Tum, tuyển chọn kỹ lưỡng từng củ sâm, từng miếng thịt gác bếp. Với mức giá tận nguồn (giá sỉ) cho cả khách lẻ, chúng tôi mong muốn đưa dược liệu quý và đặc sản sạch đến gần hơn với mọi gia đình Việt.</t>
  </si>
  <si>
    <t>1fc49257-a173-4fe4-9d39-92ea1e435810_w256.webp</t>
  </si>
  <si>
    <t>52113275-55f7-4e2f-b384-2964af11d1e0.jpg</t>
  </si>
  <si>
    <t>Võ Tiến Lâm</t>
  </si>
  <si>
    <t>6CCtI_w256.webp</t>
  </si>
  <si>
    <t>CÔNG TY TNHH MTV SẢN XUẤT - XNK THUẬN THIÊN PHÁT</t>
  </si>
  <si>
    <t>Thuận Thiên Phát</t>
  </si>
  <si>
    <t>0310584193</t>
  </si>
  <si>
    <t>thuanthienphat.png</t>
  </si>
  <si>
    <t>Lô S13, Đường Số 21, Khu dân cư Phước Kiển A, Xã Nhà Bè, TP.HCM</t>
  </si>
  <si>
    <t>0972773123</t>
  </si>
  <si>
    <t>vo-tien.lam@thuanthienphat.vn</t>
  </si>
  <si>
    <t>84972773123</t>
  </si>
  <si>
    <t>https://thuanthienphat.vn</t>
  </si>
  <si>
    <t>Thiết bị tự động hóa &amp; Cảm biến</t>
  </si>
  <si>
    <t>Giải pháp đo lường ngành Giấy &amp; Bột giấy</t>
  </si>
  <si>
    <t>Hệ thống phân tích khí thải &amp; Bụi</t>
  </si>
  <si>
    <t>Giải pháp Logistics &amp; Intralogistics</t>
  </si>
  <si>
    <t>Lập trình PLC &amp; Hệ thống SCADA</t>
  </si>
  <si>
    <t>Chẩn đoán &amp; Xử lý mạng công nghiệp</t>
  </si>
  <si>
    <t>Lắp đặt điện M&amp;E &amp; Tủ điện điều khiển</t>
  </si>
  <si>
    <t>Bảo trì &amp; Hiệu chuẩn thiết bị công nghiệp</t>
  </si>
  <si>
    <t>GIẢI PHÁP THÔNG MINH CHO NHÀ MÁY</t>
  </si>
  <si>
    <t>CÔNG TY TNHH MTV SẢN XUẤT – XNK THUẬN THIÊN PHÁT (TTP)
"Giải pháp thông minh – Gia tăng giá trị – Đồng hành cùng sự thịnh vượng"
GIỚI THIỆU CHUNG
Được thành lập từ năm 2011, Thuận Thiên Phát (TTP) là nhà tiên phong trong việc cung cấp các thiết bị công nghiệp hiện đại, dịch vụ kỹ thuật chuyên sâu và giải pháp cải tiến tối ưu cho các nhà máy tại Việt Nam. Với hệ thống quản lý chất lượng đạt chuẩn ISO 9001:2015 và ISO 45001:2018, cùng chứng chỉ năng lực xây dựng hạng I, TTP khẳng định uy tín vững chắc trong vai trò là nhà tích hợp hệ thống chuyên nghiệp và đối tác chiến lược của nhiều tập đoàn công nghệ hàng đầu thế giới.
NĂNG LỰC ĐỐI TÁC &amp; PHÂN PHỐI
TTP hiện là đại diện phân phối chính thức và duy nhất tại Việt Nam cho các thương hiệu uy tín từ Châu Âu và Nhật Bản như: BTG (Thụy Điển), LEINE &amp; LINDE (Thụy Điển), SOMAS (Thụy Điển), INDU-SOL (Đức), SICK (Đức), AIOI SYSTEM (Nhật Bản)... Chúng tôi chuyên sâu trong các giải pháp đo lường nồng độ bột giấy, hệ thống kiểm soát khí thải, thiết bị tự động hóa và giải pháp Logistics thông minh (Goods to Person, Put to Light).
TẦM NHÌN &amp; GIÁ TRỊ CỐT LÕI
Với đội ngũ kỹ sư giàu kinh nghiệm và trình độ chuyên môn cao, TTP cam kết mang đến những giải pháp giúp đối tác: Tăng hiệu quả – Giảm phát thải – Tối ưu chi phí. Chúng tôi không chỉ cung cấp thiết bị mà còn đồng hành xuyên suốt trong quá trình tư vấn, thiết kế, lắp đặt và bảo trì, nhằm mục tiêu gia tăng giá trị bền vững cho mọi dự án công nghiệp.
THÔNG TIN LIÊN HỆ
Địa chỉ ĐKKD: Tầng 09 Tòa nhà Pearl Plaza, 561A Điện Biên Phủ, Quận Bình Thạnh, TP. HCM.
Văn phòng giao dịch: S13, Đường 21, KDC Phước Kiển A, Huyện Nhà Bè, TP. HCM.
Hotline: 0931 901 339 | Website: thuanthienphat.vn
Email: info@thuanthienphat.vn</t>
  </si>
  <si>
    <t>thuanthienphat_w256.webp</t>
  </si>
  <si>
    <t>6CCtI.jpg</t>
  </si>
  <si>
    <t>A046</t>
  </si>
  <si>
    <t>Đặng Thị Yến</t>
  </si>
  <si>
    <t>A032_ĐẶNG THỊ YẾN_w256.webp</t>
  </si>
  <si>
    <t>Cố vấn cấp cao</t>
  </si>
  <si>
    <t>CÔNG TY TNHH THỰC PHẨM VÀ NƯỚC GIẢI KHÁT GREEN FOOD</t>
  </si>
  <si>
    <t>Green Food</t>
  </si>
  <si>
    <t>0317104657</t>
  </si>
  <si>
    <t>grfood_H128.png</t>
  </si>
  <si>
    <t>Số 11, đường Phan Văn Khải, ấp Trạm Bom, xã Củ Chi, TP. Hồ Chí Minh</t>
  </si>
  <si>
    <t>0334575859</t>
  </si>
  <si>
    <t>yendt@grfood.com.vn</t>
  </si>
  <si>
    <t>84334575859</t>
  </si>
  <si>
    <t>https://grfood.com.vn</t>
  </si>
  <si>
    <t>Gia công nước giải khát (OEM)</t>
  </si>
  <si>
    <t>Chuyển giao công nghệ thực phẩm</t>
  </si>
  <si>
    <t>Sản xuất Kombucha &amp; Trà thảo mộc</t>
  </si>
  <si>
    <t>Tư vấn thiết kế nhà xưởng</t>
  </si>
  <si>
    <t>Chế tạo máy thiết bị thực phẩm</t>
  </si>
  <si>
    <t>Đăng ký mã số mã vạch &amp; SHTT</t>
  </si>
  <si>
    <t>Công bố chất lượng sản phẩm</t>
  </si>
  <si>
    <t>Phân phối nước giải khát thiên nhiên</t>
  </si>
  <si>
    <t>TRAO TRỌN CHỮ TÂM</t>
  </si>
  <si>
    <t>CÔNG TY TNHH THỰC PHẨM VÀ NƯỚC GIẢI KHÁT GREEN FOOD
"Green Food – Chúng tôi luôn hết mình vì bạn!"
GIỚI THIỆU CHUNG
Green Food là đơn vị tiên phong trong lĩnh vực nghiên cứu, sản xuất và cung ứng các dòng nước giải khát có nguồn gốc tự nhiên, an toàn và có lợi cho sức khỏe tại Việt Nam. Với sứ mệnh đồng hành cùng các doanh nghiệp trong việc đổi mới và sáng tạo, Green Food không chỉ mang đến những sản phẩm chất lượng cao mà còn cung cấp giải pháp toàn diện từ tư vấn công nghệ đến gia công sản xuất. Chúng tôi tin rằng thực phẩm sạch và tự nhiên chính là yếu tố cốt lõi để nâng cao chất lượng cuộc sống và niềm tin của người tiêu dùng.
LĨNH VỰC HOẠT ĐỘNG CHỦ LỰC
Green Food sở hữu hệ sinh thái dịch vụ đa dạng và chuyên sâu:
Sản xuất &amp; Gia công (OEM/ODM): Chuyên gia công các mặt hàng nước giải khát (Kombucha, Trà sương sáo, Nước yến, Cà phê...) với hệ thống máy móc hiện đại và quy trình kiểm soát chất lượng quốc tế.
Chuyển giao công nghệ: Đồng hành cùng các Startup và doanh nghiệp trong việc nghiên cứu công thức, cải tiến sản phẩm và tối ưu hóa quy trình sản xuất.
Tư vấn giải pháp: Hỗ trợ thiết kế lắp đặt nhà xưởng, chế tạo máy thiết bị và tư vấn các thủ tục pháp lý như công bố sản phẩm, đăng ký mã số mã vạch và sở hữu trí tuệ.
CAM KẾT THƯƠNG HIỆU
Với phương châm "Hương vị thiên nhiên thuần Việt", mỗi sản phẩm của Green Food như Nước dừa xiêm Bến Tre, Trà bí đao sương sáo hay Nước chanh muối bạc hà đều là sự kết hợp giữa tinh túy nguyên liệu bản địa và công nghệ sản xuất tiên tiến. Chúng tôi cam kết đảm bảo tiến độ, mức giá hợp lý và tính bảo mật công nghệ tuyệt đối cho mọi đối tác.
THÔNG TIN LIÊN HỆ
Địa chỉ: 11 Quốc lộ 22, Ấp Trạm Bom, Xã Củ Chi, TP. HCM
Hotline: 0334 57 58 59
Website: greenfood.com.vn (hoặc địa chỉ web hiện tại của công ty)
MST: 0317104657</t>
  </si>
  <si>
    <t>grfood_H128_w256.webp</t>
  </si>
  <si>
    <t>A032_ĐẶNG THỊ YẾN.png</t>
  </si>
  <si>
    <t>Lê Minh Quý</t>
  </si>
  <si>
    <t>6fa1ae47-3332-4fd9-a7a3-7d30791f1b93-removebg-preview_w256.webp</t>
  </si>
  <si>
    <t>Phó Giám đốc</t>
  </si>
  <si>
    <t>CÔNG TY TNHH SẢN XUẤT THƯƠNG MẠI VIỆT ĐỨC HOME</t>
  </si>
  <si>
    <t>Viet Duc Home</t>
  </si>
  <si>
    <t>0314006108</t>
  </si>
  <si>
    <t>Screenshot 2026-03-18 142553.png</t>
  </si>
  <si>
    <t>69 Đường Liên Phường, Khu Phố 6, Phường Phước Long,  TP.HCM</t>
  </si>
  <si>
    <t>0913776167</t>
  </si>
  <si>
    <t>info@vietduchome.vn</t>
  </si>
  <si>
    <t>84913776167</t>
  </si>
  <si>
    <t>https://vietduchome.vn</t>
  </si>
  <si>
    <t>Sản xuất Cửa gỗ Carbon</t>
  </si>
  <si>
    <t>Cửa Composite Than Tre</t>
  </si>
  <si>
    <t>Thi công nội thất trọn gói</t>
  </si>
  <si>
    <t>Cửa nhựa ABS Hàn Quốc</t>
  </si>
  <si>
    <t>Cửa thép &amp; Gỗ chống cháy</t>
  </si>
  <si>
    <t>Thiết kế &amp; Sản xuất Tủ bếp</t>
  </si>
  <si>
    <t>Cung cấp Khóa điện tử &amp; Phụ kiện</t>
  </si>
  <si>
    <t>Sản xuất Cửa nhựa Đài Loan</t>
  </si>
  <si>
    <t>NÂNG TẦM KHÔNG GIAN SỐNG</t>
  </si>
  <si>
    <t>VIỆT ĐỨC HOME – GIẢI PHÁP TỔNG THỂ VỀ CỬA VÀ NỘI THẤT HIỆN ĐẠI
"Sự hài lòng của khách hàng là hạnh phúc của chúng tôi"
GIỚI THIỆU CHUNG
Việt Đức Home là đơn vị hàng đầu tại Việt Nam chuyên sản xuất, thiết kế và thi công trọn gói các dòng cửa công nghiệp và nội thất cao cấp. Với hệ thống 10 showroom trải dài từ TP. Hồ Chí Minh, Đồng Nai, Bình Dương đến Vũng Tàu và Phú Quốc, chúng tôi tự hào mang đến không gian sống sang trọng, tiện nghi và bền vững. Việt Đức Home không chỉ cung cấp sản phẩm mà còn mang đến giải pháp tối ưu thông qua quy trình 5 bước chuyên nghiệp từ tư vấn, thiết kế đến sản xuất và bàn giao.
THẾ MẠNH SẢN PHẨM
Chúng tôi đi đầu trong việc ứng dụng các vật liệu mới, thân thiện với môi trường và có độ bền vượt trội:
Hệ thống cửa: Chuyên dòng cửa gỗ Carbon, cửa Composite Than Tre, cửa nhựa ABS Hàn Quốc và các dòng cửa thép/gỗ chống cháy đạt tiêu chuẩn Việt Nam.
Nội thất: Thiết kế và thi công tủ bếp (Acrylic, Picomat, gỗ công nghiệp An Cường), nội thất phòng ngủ và phòng khách theo yêu cầu riêng biệt.
Giải pháp dự án: Có năng lực cung ứng số lượng lớn (trên 300 bộ cửa) trong thời gian ngắn cho các dự án chung cư và cao ốc văn phòng.
CAM KẾT DỊCH VỤ
Với phương châm hỗ trợ 1-1 và chế độ bảo hành chu đáo, Việt Đức Home cam kết mang lại mức giá cạnh tranh nhất đi kèm chất lượng sản phẩm hoàn hảo, giúp hiện thực hóa mọi ý tưởng thiết kế của khách hàng.
THÔNG TIN LIÊN HỆ
Trụ sở: 69 Liên Phường, Phường Phước Long B, TP. Thủ Đức, TP. HCM.
Xưởng sản xuất: 364B KP Bình Thung 1, P. Đông Hòa, TP. Dĩ An, Bình Dương.
Hotline: 0888 22 37 79 | Email: info@vietduchome.vn</t>
  </si>
  <si>
    <t>Screenshot 2026-03-18 142553_w256.webp</t>
  </si>
  <si>
    <t>6fa1ae47-3332-4fd9-a7a3-7d30791f1b93-removebg-preview.png</t>
  </si>
  <si>
    <t>A048</t>
  </si>
  <si>
    <t>Phan Văn Đan Huyền</t>
  </si>
  <si>
    <t>A034_PHAN VĂN ĐAN HUYỀN_w256.webp</t>
  </si>
  <si>
    <t>CEO</t>
  </si>
  <si>
    <t>CÔNG TY CÔNG NGHỆ DAN SOLUTIONS</t>
  </si>
  <si>
    <t>DAN SOLUTIONS</t>
  </si>
  <si>
    <t>0317174774</t>
  </si>
  <si>
    <t>Screenshot 2026-03-18 144244.png</t>
  </si>
  <si>
    <t>0932320105</t>
  </si>
  <si>
    <t>dhuyenkhtn@gmail.com</t>
  </si>
  <si>
    <t>84932320105</t>
  </si>
  <si>
    <t>https://dansolutions.vn</t>
  </si>
  <si>
    <t>Lập trình Mobile App (iOS/Android)</t>
  </si>
  <si>
    <t>Gia công Phần mềm doanh nghiệp</t>
  </si>
  <si>
    <t>Tư vấn Chuyển đổi số</t>
  </si>
  <si>
    <t>Dịch vụ Bảo trì &amp; Vận hành App</t>
  </si>
  <si>
    <t>Tối ưu Tốc độ &amp; SEO Website</t>
  </si>
  <si>
    <t>Hệ thống Quản trị eCommerce</t>
  </si>
  <si>
    <t>Web Hosting &amp; Bảo mật dữ liệu</t>
  </si>
  <si>
    <t>DAN SOLUTIONS – ĐỐI TÁC CHUYỂN ĐỔI SỐ &amp; PHÁT TRIỂN PHẦN MỀM TOÀN DIỆN
"Đồng hành cùng doanh nghiệp khám phá tiềm năng số"
GIỚI THIỆU CHUNG
DAN Solutions là công ty công nghệ chuyên cung cấp các giải pháp tư vấn, thiết kế và lập trình phần mềm hiện đại. Với tư duy lấy trải nghiệm người dùng làm trọng tâm, chúng tôi giúp doanh nghiệp tối ưu hóa vận hành và nâng tầm thương hiệu trên nền tảng số. DAN Solutions tự hào là đơn vị thực chiến, đồng hành cùng khách hàng từ khâu lên ý tưởng, triển khai đến bảo trì hệ thống lâu dài, đảm bảo mỗi bước đi công nghệ đều thúc đẩy thành công kinh doanh.
HỆ SINH THÁI DỊCH VỤ CỐT LÕI
Phát triển Mobile App &amp; Website: Chuyên thiết kế Website chuẩn SEO và ứng dụng di động đa nền tảng (React Native, Flutter). Chúng tôi tập trung vào hiệu suất cao, giao diện trực quan và dòng chảy người dùng (User Flow) mượt mà.
Gia công &amp; Tư vấn Công nghệ: Cung cấp giải pháp phần mềm quản trị nội bộ (ERP, CRM), hệ thống eCommerce và điều phối đơn hàng (Order Dispatch Center) tùy chỉnh theo đặc thù từng doanh nghiệp.
Vận hành &amp; Tối ưu: Dịch vụ bảo trì App/Website toàn diện, tối ưu tốc độ tải trang dưới 3 giây, SEO chuyên sâu và Web Hosting ổn định, bảo mật.
DỰ ÁN TIÊU BIỂU
DAN Solutions đã khẳng định năng lực qua hàng loạt dự án đa lĩnh vực trong năm 2025 như: Hệ thống quản lý giáo dục (Skyline, Vietnam Canada Preschool), Chuỗi hệ thống bán lẻ (Fastcare), Hệ thống Thương mại điện tử &amp; Career (Skylink Group), và các dự án chuyên biệt cho ngành thực phẩm, du lịch (Tamda Foods, Cào Cào Adventures).
THÔNG TIN LIÊN HỆ
Lĩnh vực: Tư vấn, Thiết kế, Lập trình App &amp; Website, Chuyển đổi số.
Website: dansolutions.vn</t>
  </si>
  <si>
    <t>Screenshot 2026-03-18 144244_w256.webp</t>
  </si>
  <si>
    <t>A034_PHAN VĂN ĐAN HUYỀN.png</t>
  </si>
  <si>
    <t>A049</t>
  </si>
  <si>
    <t>Hoàng Đức Nam</t>
  </si>
  <si>
    <t>A035_HOÀNG ĐỨC NAM_w256.webp</t>
  </si>
  <si>
    <t>CTY TNHH THÉP SATA</t>
  </si>
  <si>
    <t>Thép Sata</t>
  </si>
  <si>
    <t>0314964975</t>
  </si>
  <si>
    <t>satthepsata_H128.webp</t>
  </si>
  <si>
    <t>Số 47 Đường số 12, Khu Đô Thị Vạn Phúc, P. Thủ Đức, TP. HCM</t>
  </si>
  <si>
    <t>0903725545</t>
  </si>
  <si>
    <t>satasteel789@gmail.com</t>
  </si>
  <si>
    <t>84903725545</t>
  </si>
  <si>
    <t>https://thepsata.com.vn</t>
  </si>
  <si>
    <t>Phân phối Tôn Hoa Sen &amp; Đông Á</t>
  </si>
  <si>
    <t>Tôn nhựa lấy sáng Polycarbonate</t>
  </si>
  <si>
    <t>Sản xuất Xà gồ C - Z lợp mái</t>
  </si>
  <si>
    <t>Sắt thép xây dựng chính hãng</t>
  </si>
  <si>
    <t>Tôn giả ngói &amp; Tôn cách nhiệt</t>
  </si>
  <si>
    <t>Cung cấp Lưới B40 các loại</t>
  </si>
  <si>
    <t>Gia công Máng xối Inox &amp; Phụ kiện</t>
  </si>
  <si>
    <t>Phân phối Tôn Bluescope Zacs</t>
  </si>
  <si>
    <t>CHẤT LƯỢNG CHÍNH HÃNG – GIÁ GỐC TẠI KHO</t>
  </si>
  <si>
    <r>
      <rPr>
        <sz val="10"/>
        <rFont val="Arial"/>
      </rPr>
      <t xml:space="preserve">Công ty TNHH Thép SATA được thành lập với tâm huyết mang đến những sản phẩm tôn thép chất lượng hàng đầu cho thị trường xây dựng Việt Nam. Khởi đầu từ một đơn vị nhỏ với định hướng chuyên sâu trong lĩnh vực vật liệu xây dựng, SATA đã không ngừng nỗ lực và phát triển vượt bậc trong suốt những năm qua.
Trên nền tảng uy tín và sự tin tưởng của khách hàng, Thép SATA từng bước mở rộng quy mô, đa dạng hóa sản phẩm và nâng cao chất lượng dịch vụ. Chúng tôi hợp tác với các thương hiệu tôn thép như Hoa Sen, BlueScope, Đông Á, Hòa Phát và Phương Nam, đảm bảo nguồn hàng chính hãng, đáp ứng đầy đủ mọi nhu cầu của khách hàng từ các công trình nhỏ đến các dự án quy mô lớn.
Sản phẩm :
Tôn cuộn mạ lạnh, tôn cuộn mạ màu
Tôn cán sóng các loại cho nhà xưởng và dân dụng.
Thép tấm, thép hộp, thép hình U I V các loại.
Địa chỉ : CÔNG TY TNHH THÉP SATA
Số 47 Đường số 12 Khu Đô Thị Vạn Phúc, P. Hiệp Bình Phước, Tp. Thủ Đức, Tp. Hồ Chí Minh, Việt Nam
Nhà máy : 80A1 QL1A PHƯỜNG HIỆP BÌNH , TP HCM
</t>
    </r>
    <r>
      <rPr>
        <u/>
        <sz val="10"/>
        <rFont val="Arial"/>
      </rPr>
      <t>https://thepsata.com.vn/</t>
    </r>
  </si>
  <si>
    <t>THÉP SATA – TỔNG ĐẠI LÝ PHÂN PHỐI TÔN THÉP &amp; VẬT LIỆU XÂY DỰNG HÀNG ĐẦU
"Chất lượng vững bền – Giá thành tối ưu – Giao hàng thần tốc"
GIỚI THIỆU CHUNG
Công ty TNHH Thép SATA là đơn vị chuyên doanh uy tín trong lĩnh vực cung ứng tôn lợp, sắt thép xây dựng và vật liệu lấy sáng tại TP. Hồ Chí Minh và các tỉnh lân cận. Với hệ thống 4 nhà máy quy mô và đội ngũ nhân sự tận tâm, chúng tôi tự hào là đối tác chiến lược của các thương hiệu tôn thép hàng đầu như Hoa Sen, Đông Á, Nam Kim, Phương Nam và Bluescope. Thép SATA cam kết mang đến cho khách hàng những sản phẩm chính hãng, đúng chất lượng với mức giá cạnh tranh nhất thị trường.
HỆ THỐNG SẢN PHẨM CHỦ LỰC
Tôn lợp nhà xưởng: Chuyên dòng tôn lạnh, tôn mạ màu, tôn cách nhiệt, tôn giả ngói và tôn vòm. Đặc biệt là dòng tôn Bluescope Zacs và Poshaco cao cấp.
Vật liệu lấy sáng: Tổng kho phân phối tôn nhựa lấy sáng Polycarbonate, tấm lợp Composite chất lượng cao.
Sắt thép xây dựng &amp; Phụ kiện: Cung cấp thép hộp kẽm, xà gồ C - Z lợp mái, lưới B40 và các loại máng xối Inox (316, 304, 201).
Giải pháp hoàn thiện: Cung cấp đầy đủ phụ kiện máng xối, lam gió và các loại tôn la phong thẩm mỹ.
NĂNG LỰC CUNG ỨNG
Sở hữu mạng lưới nhà máy và văn phòng tại các vị trí chiến lược (Thủ Đức, Quận 9, Bình Tân và Thuận An - Bình Dương), Thép SATA đảm bảo quy trình xác nhận đơn hàng nhanh chóng và giao hàng đúng tiến độ, đúng số lượng cho mọi công trình từ dân dụng đến dự án công nghiệp.
THÔNG TIN LIÊN HỆ
Văn phòng: Số 47 Đường số 12, Khu Đô Thị Vạn Phúc, P. Thủ Đức, TP. HCM.
Hotline: 0903 725 545 | Email: satasteel789@gmail.com
Website: thepsata.vn | thepsata.com.vn</t>
  </si>
  <si>
    <t>Xưởng 10, VP 12</t>
  </si>
  <si>
    <t>A035_HOÀNG ĐỨC NAM.png</t>
  </si>
  <si>
    <t>A050</t>
  </si>
  <si>
    <t>Hoàng Thị Ánh Tuyết</t>
  </si>
  <si>
    <t>LKN_7387_-_Tuyet_Hoang-removebg-preview_w256.webp</t>
  </si>
  <si>
    <t>CTY TNHH XNK NEW SKY GREEN &amp; BAO BÌ NHỰA NGUYÊN PHONG</t>
  </si>
  <si>
    <t>NEW SKY GREEN</t>
  </si>
  <si>
    <t>0319275739/ 0316318247</t>
  </si>
  <si>
    <t>2e92267439e8b7b6eef92.jpg</t>
  </si>
  <si>
    <t>229/87 Đường Tây Thạnh, Phường Tây Thạnh, Thành phố Hồ Chí Minh</t>
  </si>
  <si>
    <t>0933852339</t>
  </si>
  <si>
    <t>salesnewskygreen@gmail.com</t>
  </si>
  <si>
    <t>MST-0319275739</t>
  </si>
  <si>
    <t>Nhập khẩu và phân phối hạt nhựa nguyên sinh</t>
  </si>
  <si>
    <t>Xuất khẩu và phân phối bao bì nhựa OPP/ HDPE / LLDPE</t>
  </si>
  <si>
    <t>2e92267439e8b7b6eef92_w256.webp</t>
  </si>
  <si>
    <t>LKN_7387_-_Tuyet_Hoang-removebg-preview.png</t>
  </si>
  <si>
    <t>A051</t>
  </si>
  <si>
    <t>Nguyễn Đình Thành</t>
  </si>
  <si>
    <t>bac715a6-d012-4867-838b-ce49f5d88184_w256.webp</t>
  </si>
  <si>
    <t>CÔNG TY TNHH THƯƠNG MẠI DỊCH VỤ THIÊN PHÁT TIẾN</t>
  </si>
  <si>
    <t>Thiên Phát Tiến</t>
  </si>
  <si>
    <t>0311999088</t>
  </si>
  <si>
    <t>logo-cuoitrang-thientienphat-01 - Copy.png</t>
  </si>
  <si>
    <t>196 Quách Đình Bảo, Phường Phú Thạnh, Thành Phố Hồ Chí Minh</t>
  </si>
  <si>
    <t>201 Quách Đình Bảo, Phường Phú Thạnh, Thành Phố Hồ Chí Minh</t>
  </si>
  <si>
    <t>0914994997</t>
  </si>
  <si>
    <r>
      <rPr>
        <u/>
        <sz val="10"/>
        <rFont val="Arial"/>
      </rPr>
      <t>thanhnd@thienphattien.com</t>
    </r>
  </si>
  <si>
    <t>www.thienphattien.com</t>
  </si>
  <si>
    <t>https://www.facebook.com/ThienPhatTien</t>
  </si>
  <si>
    <t>https://www.linkedin.com/in/thanhnd198/</t>
  </si>
  <si>
    <t>Phân phối hệ thống UPS</t>
  </si>
  <si>
    <t>Giải pháp Lạnh chính xác</t>
  </si>
  <si>
    <t>Hạ tầng Trung tâm dữ liệu (DC)</t>
  </si>
  <si>
    <t>Dịch vụ bảo trì UPS &amp; Ắc quy</t>
  </si>
  <si>
    <t>Cho thuê hệ thống UPS</t>
  </si>
  <si>
    <t>Sửa chữa &amp; Thay thế linh kiện</t>
  </si>
  <si>
    <t>Phân phối ắc quy chính hãng</t>
  </si>
  <si>
    <t>Thi công hệ thống nguồn dự phòng</t>
  </si>
  <si>
    <t>GIẢI PHÁP TỐI ƯU CHO DOANH NGHIỆP</t>
  </si>
  <si>
    <t>THIÊN PHÁT TIẾN – NHÀ PHÂN PHỐI &amp; CUNG CẤP DỊCH VỤ KỸ THUẬT HẠ TẦNG DATACENTER UY TÍN
"Power-up: Giải pháp tối ưu – Dịch vụ tận tâm"
GIỚI THIỆU CHUNG
Với hơn 13 năm kinh nghiệm thực chiến, Thiên Phát Tiến đã khẳng định vị thế là nhà phân phối và cung cấp dịch vụ kỹ thuật đáng tin cậy trong lĩnh vực hạ tầng trung tâm dữ liệu (Data Center). Dưới sự điều hành của Phó Giám Đốc Nguyễn Đình Thành, công ty là đối tác chiến lược của các thương hiệu toàn cầu như Legrand, Schneider Electric, Eaton, và Santak. chúng tôi cam kết mang đến hệ thống nguồn điện dự phòng và làm mát chính xác đạt chuẩn quốc tế, giúp doanh nghiệp duy trì vận hành thông suốt và an toàn tuyệt đối.
NĂNG LỰC CỐT LÕI
Thiết bị &amp; Giải pháp: Nhà phân phối chính thức hệ thống UPS, Lạnh chính xác, ắc quy chính hãng (Vision, Saite, Long...) và các thiết bị hạ tầng ICT từ các hãng danh tiếng (Citec, Delta, INVT).
Dịch vụ Kỹ thuật chuyên sâu: Chuyên sửa chữa, thay thế, lắp đặt và cho thuê hệ thống UPS. Chúng tôi cung cấp gói bảo trì, bảo dưỡng định kỳ giúp kéo dài tuổi thọ thiết bị và tối ưu hóa chi phí vận hành cho khách hàng.
Hạ tầng Data Center: Tư vấn thiết kế và thi công trọn gói hạ tầng trung tâm dữ liệu, đảm bảo các tiêu chuẩn khắt khe về nguồn điện và nhiệt độ.
GIÁ TRỊ KHÁC BIỆT
Thiên Phát Tiến sở hữu Trung tâm dịch vụ khách hàng chuyên biệt cùng đội ngũ kỹ thuật viên giàu kinh nghiệm, sẵn sàng hỗ trợ 24/7. Sự kết hợp giữa sản phẩm chính hãng và dịch vụ hậu mãi chu đáo chính là nền tảng tạo nên sự tin tưởng của hàng ngàn đối tác trong suốt thập kỷ qua.
THÔNG TIN LIÊN HỆ
Văn phòng: 196 Quách Đình Bảo, Phường Phú Thạnh, Quận Tân Phú, TP. HCM.
Trung tâm dịch vụ: 201 Quách Đình Bảo, Phường Phú Thạnh, Quận Tân Phú, TP. HCM.
Điện thoại: 0914 994 997 (Mr. Nguyễn Đình Thành).
Email: thanhnd@thienphattien.com | Website: thienphattien.com.</t>
  </si>
  <si>
    <t>logo-cuoitrang-thientienphat-01 - Copy_w256.webp</t>
  </si>
  <si>
    <t>bac715a6-d012-4867-838b-ce49f5d88184.jpg</t>
  </si>
  <si>
    <t>A052</t>
  </si>
  <si>
    <t>Trần Khánh Huyền Trang</t>
  </si>
  <si>
    <t>A040_TRẦN_KHÁNH_HUYỀN_TRANG-removebg-preview_w256.webp</t>
  </si>
  <si>
    <t>Chủ tịch HĐQT</t>
  </si>
  <si>
    <t>CÔNG TY CPDV BẢO VỆ QUANG MINH</t>
  </si>
  <si>
    <t>Bảo vệ Quang Minh</t>
  </si>
  <si>
    <t>0314497047</t>
  </si>
  <si>
    <t>CÔNG TY CỔ PHẦN DỊCH VỤ BẢO VỆ QUANG MINH VIỆT NAM
0314497047
Số 68 Đường 3158B Phạm Thế Hiển, Phường 7, Quận 8, Thành phố Hồ Chí Minh, Việt Nam</t>
  </si>
  <si>
    <t>0907233068</t>
  </si>
  <si>
    <t>trankhanhhuyentrang@gmail.com</t>
  </si>
  <si>
    <t>84907233068</t>
  </si>
  <si>
    <t>Dịch vụ bảo vệ</t>
  </si>
  <si>
    <t>Chưa phát hành</t>
  </si>
  <si>
    <t>A040_TRẦN_KHÁNH_HUYỀN_TRANG-removebg-preview.png</t>
  </si>
  <si>
    <t>Lê Thị Phương Nhi</t>
  </si>
  <si>
    <t>A041_Lê Thị Phương Nhi_w256.webp</t>
  </si>
  <si>
    <t>Giám đốc kinh doanh</t>
  </si>
  <si>
    <t>CÔNG TY TNHH THƯƠNG MẠI BRULE COFFEE</t>
  </si>
  <si>
    <t>BRULE COFFEE</t>
  </si>
  <si>
    <t>0318966162</t>
  </si>
  <si>
    <t>logo.png</t>
  </si>
  <si>
    <t>Vinhome Grand Park, Phường Long Bình, TP. Hồ Chí Minh</t>
  </si>
  <si>
    <t>Thôn Xa Ry, xã Hướng Phùng, tỉnh Quảng Trị</t>
  </si>
  <si>
    <t>0969414290</t>
  </si>
  <si>
    <t>lethiphuongnhik19@gmail.com</t>
  </si>
  <si>
    <t>84969414290</t>
  </si>
  <si>
    <t>https://brule-coffee.myharavan.com</t>
  </si>
  <si>
    <t>Cung cấp Cà phê đặc sản</t>
  </si>
  <si>
    <t>Cà phê Rang mộc nguyên chất</t>
  </si>
  <si>
    <t>Phân phối Cà phê Nhân xanh</t>
  </si>
  <si>
    <t>Sản xuất Cà phê Phin giấy</t>
  </si>
  <si>
    <t>Cà phê Hòa tan cao cấp</t>
  </si>
  <si>
    <t>Trà vỏ cà phê Cascara</t>
  </si>
  <si>
    <t>Cung ứng Cà phê cho quán</t>
  </si>
  <si>
    <t>Quà tặng Cà phê đặc sản</t>
  </si>
  <si>
    <t>BRULE COFFEE – VỊ NGUYÊN BẢN ĐẠI NGÀN TỪ KHE SANH HIGHLANDS
"Hành trình từ nông trại đến ly cà phê đậm vị"
GIỚI THIỆU CHUNG
Brule Coffee là thương hiệu cà phê đặc sản chuyên cung cấp những hạt cà phê tinh túy từ vùng cao nguyên Khe Sanh (Hướng Hóa, Quảng Trị). Với sứ mệnh kết nối giá trị bản địa và trải nghiệm hiện đại, Brule Coffee mang đến dòng cà phê được chăm sóc thủ công bởi đồng bào Vân Kiều, đảm bảo 100% nguyên chất và rang tươi mỗi tuần. Chúng tôi tự hào kiểm soát chặt chẽ quy trình "từ nông trại đến ly cà phê", mang lại hương vị mộc mạc, đậm đà và minh bạch về nguồn gốc.
DÒNG SẢN PHẨM CHỦ LỰC
Cà phê Rang xay &amp; Nguyên hạt: Cà phê rang mộc hoàn toàn không phụ gia, giữ trọn hương vị nguyên bản của vùng đất đại ngàn.
Cà phê Tiện lợi: Các dòng cà phê Phin giấy và Cà phê hòa tan dành cho người bận rộn nhưng vẫn yêu cầu chất lượng cao cấp.
Cà phê Nhân xanh: Cung cấp nguồn nguyên liệu chất lượng cao (100% hạt chọn lọc) cho các đơn vị kinh doanh và rang xay.
Sản phẩm sáng tạo: Trà vỏ cà phê Cascara – thức uống độc đáo giàu chất chống oxy hóa và hương vị thanh tao.
CAM KẾT THƯƠNG HIỆU
Brule Coffee cam kết sự tử tế trong từng hạt cà phê: rang thủ công để tối ưu hương vị, không độn tạp chất, hỗ trợ sinh kế bền vững cho đồng bào dân tộc thiểu số tại Quảng Trị.
THÔNG TIN LIÊN HỆ
Địa chỉ: S9.01 Vinhomes Grand Park, Phường Long Bình, TP. Thủ Đức, TP. HCM.
Hotline: 0982 622 290 | Email: nhibrulecoffee@gmail.com</t>
  </si>
  <si>
    <t>logo_w256.webp</t>
  </si>
  <si>
    <t>A041_Lê Thị Phương Nhi.png</t>
  </si>
  <si>
    <t>A054</t>
  </si>
  <si>
    <t>Nguyễn Thái Trinh</t>
  </si>
  <si>
    <t>NGUYỄN THÁI TRINH_w256.webp</t>
  </si>
  <si>
    <t>CÔNG TY TNHH CÔNG NGHỆ VIỄN THÔNG TÍN ĐẠT</t>
  </si>
  <si>
    <t>Tín Đạt</t>
  </si>
  <si>
    <t>0313637157</t>
  </si>
  <si>
    <t>cropped-file-tach-nen-2-web-3.png</t>
  </si>
  <si>
    <t>08 Đường 2, Khu đô Thị Vạn Phúc, Thủ Đức, TP. Hồ Chí Minh</t>
  </si>
  <si>
    <t>https://maps.app.goo.gl/m6e7FK3h4gTbHWwz6</t>
  </si>
  <si>
    <t>0902903606</t>
  </si>
  <si>
    <t>tindat86@gmail.com</t>
  </si>
  <si>
    <t>84902903606</t>
  </si>
  <si>
    <t>https://vienthongtindat.com</t>
  </si>
  <si>
    <t>Tư vấn giám sát, lắp đặt viễn thông</t>
  </si>
  <si>
    <t>Camera giám sát</t>
  </si>
  <si>
    <t>Bãi giữ xe thông minh</t>
  </si>
  <si>
    <t>Báo trộm, báo cháy</t>
  </si>
  <si>
    <t>Mạng LAN, WIFI</t>
  </si>
  <si>
    <t>Chấm công, kiểm soát cửa</t>
  </si>
  <si>
    <t>Kiểm soát phân tầng thang máy</t>
  </si>
  <si>
    <t>Tổng đài, bộ đàm, máy dò, tuần tra</t>
  </si>
  <si>
    <t>UY TÍN - TẬN TÂM</t>
  </si>
  <si>
    <t>Về CÔNG TY TNHH CÔNG NGHỆ VIỄN THÔNG TÍN ĐẠT
Thành lập từ năm 2016.
CEO hơn 20 năm kinh nghiệm trong lĩnh vực điện tử viễn thông – CNTT.
Nhà nhập khẩu &amp; phân phối thiết bị: bộ đàm, máy tuần tra, máy dò kim loại.
Đơn vị cung cấp giải pháp an ninh – điện nhẹ uy tín tại khu vực Tp. HCM.
VỀ CHÚNG TÔI
ĐIỂM KHÁC BIỆT VƯỢT TRỘI
Kinh nghiệm thực tiễn vững chắc – CEO xuất thân từ dân kỹ thuật, hơn 20 năm kinh nghiệm trong ngành viễn thông – CNTT.
Chuyên nhập khẩu &amp; phân phối chính hãng – Sản phẩm bộ đàm, máy tuần tra, máy dò kim loại đều có chứng nhận hợp quy, nguồn gốc rõ ràng.
Giải pháp an ninh – điện nhẹ trọn gói – Từ tư vấn, thiết kế đến thi công, bảo trì, không lo phát sinh chi phí.
Dịch vụ tận tâm, phản hồi nhanh chóng – Bảo hành dài hạn, bảo trì tận nơi, xử lý sự cố nhanh, 24/7 khi cần.
Giá trị từ chữ TÍN – Luôn đặt UY TÍN làm nền tảng, cam kết đồng hành cùng khách hàng lâu dài.</t>
  </si>
  <si>
    <t>cropped-file-tach-nen-2-web-3_w256.webp</t>
  </si>
  <si>
    <t>NGUYỄN THÁI TRINH.png</t>
  </si>
  <si>
    <t>A055</t>
  </si>
  <si>
    <t>Trương Minh Nhật</t>
  </si>
  <si>
    <t>A043_TRƯƠNG_MINH_NHẬT-removebg-preview_w256.webp</t>
  </si>
  <si>
    <t>CÔNG TY TNHH THƯƠNG MẠI KỸ THUẬT S365</t>
  </si>
  <si>
    <t>S365</t>
  </si>
  <si>
    <t>3502358387</t>
  </si>
  <si>
    <t>Screenshot 2026-03-18 161225.png</t>
  </si>
  <si>
    <t>41B24 Đường 30/4, Phường Tam Thắng (Vũng Tàu), TP. HCM</t>
  </si>
  <si>
    <t>0903134279</t>
  </si>
  <si>
    <t>nhattm@s365.vn</t>
  </si>
  <si>
    <t>84903134279</t>
  </si>
  <si>
    <t>https://s365.com.vn</t>
  </si>
  <si>
    <t>https://www.facebook.com/people/S365-Technical-Trading-Co-LTD/100033229032687</t>
  </si>
  <si>
    <t>Phân phối dụng cụ điện Bosch</t>
  </si>
  <si>
    <t>Trung tâm bảo hành Bosch ủy quyền</t>
  </si>
  <si>
    <t>Vật tư Dầu khí &amp; Hàng hải</t>
  </si>
  <si>
    <t>Thiết bị Bảo hộ lao động</t>
  </si>
  <si>
    <t>Sản phẩm công nghiệp Wurth</t>
  </si>
  <si>
    <t>Giải pháp chăm sóc Ô tô</t>
  </si>
  <si>
    <t>Máy đo &amp; Thiết bị đo lường</t>
  </si>
  <si>
    <t>NIỀM TIN CHO MỌI CÔNG TRÌNH</t>
  </si>
  <si>
    <t>S365 TECHNICAL TRADING – GIẢI PHÁP KỸ THUẬT TOÀN DIỆN CHO NGÀNH CÔNG NGHIỆP &amp; HÀNG HẢI
"S365 - Everything Has Its Own Solution"
GIỚI THIỆU CHUNG
Công ty TNHH Thương mại Kỹ thuật S365 là đơn vị uy tín hàng đầu tại Vũng Tàu, chuyên cung cấp vật tư, thiết bị và dịch vụ kỹ thuật cho các ngành trọng điểm: Dầu khí, Hàng hải, Đóng tàu và Sản xuất công nghiệp. Với đội ngũ chuyên gia giàu kinh nghiệm, S365 không chỉ cung cấp sản phẩm mà còn mang đến những giải pháp an toàn, bền vững và hiệu quả, giúp tối ưu hóa quy trình vận hành cho khách hàng.
ĐỐI TÁC &amp; THƯƠNG HIỆU CHIẾN LƯỢC
Chúng tôi tự hào là đại diện phân phối và trung tâm bảo hành ủy quyền của các thương hiệu danh tiếng thế giới:
BOSCH (Đức): Đại lý ủy quyền phân phối dụng cụ điện cầm tay, máy đo chuyên dụng và phụ kiện chính hãng.
WURTH (Đức): Phân phối các sản phẩm phụ trợ công nghiệp và dòng sản phẩm chăm sóc ô tô cao cấp.
LĨNH VỰC KINH DOANH CHỦ LỰC
Dụng cụ điện &amp; Thiết bị đo: Cung cấp đầy đủ máy khoan, máy mài, máy cắt, máy hàn... và các thiết bị đo lường chính xác.
Bảo hộ lao động (PPE): Giải pháp bảo vệ toàn diện từ đầu, mặt, thính giác đến bàn chân, đảm bảo an toàn vệ sinh lao động theo tiêu chuẩn.
Vật liệu xây dựng kỹ thuật: Cung cấp máy đục phá, mũi khoan đặc chủng và vật liệu phụ trợ công trình.
Chăm sóc Ô tô chuyên nghiệp: Thiết bị sửa chữa, bảo dưỡng và hóa chất chống ăn mòn cho khung gầm, khoang máy và nội thất.
THÔNG TIN LIÊN HỆ
Địa chỉ: 41B24, Đường 30/4, Phường 9, TP. Vũng Tàu, Bà Rịa - Vũng Tàu.
Hotline: 0903 134 279 | Email: info@s365.vn
Website: s365.vn</t>
  </si>
  <si>
    <t>Screenshot 2026-03-18 161225_w256.webp</t>
  </si>
  <si>
    <t>A043_TRƯƠNG_MINH_NHẬT-removebg-preview.png</t>
  </si>
  <si>
    <t>A056</t>
  </si>
  <si>
    <t>Dương Như Thi</t>
  </si>
  <si>
    <t>A044_DƯƠNG_NHƯ_THI-removebg-preview_w256.webp</t>
  </si>
  <si>
    <t>CÔNG TY TNHH XÂY DỰNG CƠ ĐIỆN DƯƠNG GIA</t>
  </si>
  <si>
    <t>Dương Gia</t>
  </si>
  <si>
    <t>0313674906</t>
  </si>
  <si>
    <t>Screenshot 2026-03-18 163941.png</t>
  </si>
  <si>
    <t>127/66/8 Âu Cơ, Phường Hòa Bình, TP Hồ Chí Minh</t>
  </si>
  <si>
    <t>0933341616</t>
  </si>
  <si>
    <t>thi@dgmep.com</t>
  </si>
  <si>
    <t>84933341616</t>
  </si>
  <si>
    <t>dgmep.com</t>
  </si>
  <si>
    <t>Thiết kế &amp; Thi công Cơ điện (M&amp;E)</t>
  </si>
  <si>
    <t>Lắp đặt Điện &amp; Điện nhẹ (ELV)</t>
  </si>
  <si>
    <t>Hệ thống Điều hòa &amp; Thông gió</t>
  </si>
  <si>
    <t>Thi công PCCC &amp; Báo cháy</t>
  </si>
  <si>
    <t>Cấp thoát nước &amp; Trạm bơm</t>
  </si>
  <si>
    <t>Bảo trì hệ thống Cơ điện</t>
  </si>
  <si>
    <t>Tư vấn giải pháp An toàn điện</t>
  </si>
  <si>
    <t>Hạ trạm biến áp &amp; Máy phát điện</t>
  </si>
  <si>
    <t>TIÊU CHUẨN - TỐI ƯU - BỀN VỮNG</t>
  </si>
  <si>
    <t>CƠ ĐIỆN DƯƠNG GIA – GIẢI PHÁP KỸ THUẬT M&amp;E TOÀN DIỆN VÀ AN TOÀN
"Thiết kế tối ưu – Thi công chuẩn mực – Vận hành bền vững"
GIỚI THIỆU CHUNG
Thành lập từ năm 2016, Công ty TNHH Xây dựng Cơ điện Dương Gia (DGM MEP) là đơn vị chuyên nghiệp trong lĩnh vực tư vấn thiết kế, cung cấp thiết bị, lắp đặt và bảo trì hệ thống Cơ điện (M&amp;E). Với đội ngũ kỹ sư dày dặn kinh nghiệm và tâm huyết, chúng tôi mang đến những giải pháp kỹ thuật "Hợp Chuẩn", tuân thủ nghiêm ngặt các tiêu chuẩn TCVN và quốc tế (IEC), đảm bảo sự an toàn và tiện nghi cao nhất cho mọi công trình từ dân dụng đến công nghiệp.
DỊCH VỤ CỐT LÕI (MEP)
Hệ thống Điện &amp; Điện nhẹ (E &amp; ELV): Tư vấn hạ trạm biến áp, máy phát điện, tủ điện phân phối, chiếu sáng kiến trúc và hệ thống chống sét tiếp địa an toàn.
Hệ thống ĐHKK &amp; Thông gió (ACMV): Chuyên lắp đặt điều hòa trung tâm, hệ thống làm mát nhà xưởng và lọc gió thông minh.
Hệ thống Cấp thoát nước (P&amp;D): Thi công trạm bơm, xử lý nước thải, hệ thống thoát nước mưa và giải pháp nước nóng năng lượng mặt trời.
Hệ thống PCCC (FF): Thiết kế và thi công trạm bơm chữa cháy, hệ thống báo cháy tự động, chữa cháy vách tường và FM200/Nitro.
GIÁ TRỊ KHÁC BIỆT
Dương Gia không chỉ thi công mà còn chú trọng vào giải pháp tối ưu cho chủ đầu tư như: giải pháp an toàn điện (dây nối đất Te), điều khiển phao điện 12V chống giật, và tư vấn lựa chọn thiết bị chiếu sáng, máy lạnh theo xu hướng hiện đại. Chúng tôi cam kết bảo hành uy tín và đồng hành cùng khách hàng trong suốt quá trình vận hành dự án.
THÔNG TIN LIÊN HỆ
Địa chỉ: 45 Đồng Xoài, Phường 13, Quận Tân Bình, TP. HCM.
Hotline: 0933 241 616 | Email: infor@dgmep.com
Website: dgmep.com</t>
  </si>
  <si>
    <t>Screenshot 2026-03-18 163941_w256.webp</t>
  </si>
  <si>
    <t>A044_DƯƠNG_NHƯ_THI-removebg-preview.png</t>
  </si>
  <si>
    <t>A057</t>
  </si>
  <si>
    <t>Nguyễn Thành Vinh</t>
  </si>
  <si>
    <t>A046_NGUYỄN THÀNH VINH_w256.webp</t>
  </si>
  <si>
    <t>Vinh Đạt</t>
  </si>
  <si>
    <t>Screenshot 2026-03-18 165228.png</t>
  </si>
  <si>
    <t>Số 68B-03 Cách Mạng Tháng Tám, KP. Hòa Long, Phường Lái Thiêu (Bình Dương), TP. HCM</t>
  </si>
  <si>
    <t>0913158641</t>
  </si>
  <si>
    <t>vinhdat.electrical@gmail.com</t>
  </si>
  <si>
    <t>84913158641</t>
  </si>
  <si>
    <t>MST: 3702937399</t>
  </si>
  <si>
    <t>Chuyền sơn treo &amp; Chuyền sơn pallet</t>
  </si>
  <si>
    <t>Tháp sơn – Phòng sạch – Phòng sấy</t>
  </si>
  <si>
    <t>Máy chế biến gỗ &amp; Ngũ kim</t>
  </si>
  <si>
    <t>Linh kiện &amp; Thiết bị tự động hóa</t>
  </si>
  <si>
    <t>Thiết kế – Thi công hệ thống sơn</t>
  </si>
  <si>
    <t>Hệ thống cơ điện lạnh &amp; HVAC</t>
  </si>
  <si>
    <t>Tư vấn kỹ thuật &amp; Tổng thầu</t>
  </si>
  <si>
    <t>Lắp đặt – Bảo trì – Điều khiển</t>
  </si>
  <si>
    <t>CÔNG TY TNHH KỸ THUẬT CƠ ĐIỆN LẠNH VINH ĐẠT được thành lập với sứ mệnh trở thành đơn vị hàng đầu chuyên thiết kế – cung cấp – lắp đặt – thi công các hệ thống kỹ thuật cơ điện lạnh và tự động hóa công nghiệp.
Với đội ngũ kỹ sư giàu kinh nghiệm và hệ thống quản lý chặt chẽ, công ty tập trung cung cấp giải pháp toàn diện cho các ngành sản xuất, đặc biệt là sơn phủ, chế biến gỗ và tự động hóa.
Giám đốc: Ông Nguyễn Thành Vinh
Hotline: 0913 158 641
Email: vinhdat.electrical@gmail.com
Địa chỉ: Số 68B-03, Đường Cách Mạng Tháng Tám, Khu Phố Hòa Long, Phường Lái Thiêu, TP. Thuận An, Tỉnh Bình Dương.</t>
  </si>
  <si>
    <t>Screenshot 2026-03-18 165228_w256.webp</t>
  </si>
  <si>
    <t>A046_NGUYỄN THÀNH VINH.png</t>
  </si>
  <si>
    <t>Nguyễn Ngọc Linh</t>
  </si>
  <si>
    <t>1_w256.webp</t>
  </si>
  <si>
    <t>Phó Giám đốc &amp; Sáng lập</t>
  </si>
  <si>
    <t>CÔNG TY TNHH ĐẦU TƯ XÂY DỰNG TOÀN THÀNH PHÁT</t>
  </si>
  <si>
    <t>Toàn Thành Phát</t>
  </si>
  <si>
    <t>logo02-6709.png</t>
  </si>
  <si>
    <t>45A đường liên khu 2/10, Phường Bình Hưng Hòa, TP. HCM</t>
  </si>
  <si>
    <t>10 đường số 2, KĐT Vạn Phúc, Phường Hiệp Bình Phước, TP.HCM</t>
  </si>
  <si>
    <t>0938925986</t>
  </si>
  <si>
    <t>linhnn2193@gmail.com</t>
  </si>
  <si>
    <t>84938925986</t>
  </si>
  <si>
    <t>http://www.toanthanhphat.com.vn</t>
  </si>
  <si>
    <t>https://fb.com/toanthanhphatcons</t>
  </si>
  <si>
    <t>Thiết kế kiến trúc &amp; Nội thất</t>
  </si>
  <si>
    <t>Thi công Nhà phố &amp; Biệt thự</t>
  </si>
  <si>
    <t>Xây dựng Staff House &amp; Nhà trọ</t>
  </si>
  <si>
    <t>Thi công Nhà hàng &amp; Quán Cafe</t>
  </si>
  <si>
    <t>Cải tạo &amp; Sửa chữa trọn gói</t>
  </si>
  <si>
    <t>Thiết kế cảnh quan &amp; Không gian xanh</t>
  </si>
  <si>
    <t>Tư vấn giám sát &amp; Quản lý dự án</t>
  </si>
  <si>
    <t>KIẾN TẠO KHÔNG GIAN XANH</t>
  </si>
  <si>
    <t>TOÀN THÀNH PHÁT – GIẢI PHÁP THIẾT KẾ &amp; THI CÔNG XÂY DỰNG TOÀN DIỆN
"Chất lượng bền vững – Chi phí tối ưu – Tiến độ vượt trội"
TỔNG QUAN CÔNG TY
Công ty TNHH Đầu tư Xây dựng Toàn Thành Phát là đơn vị chuyên nghiệp trong lĩnh vực tư vấn thiết kế và thi công các công trình dân dụng, công nghiệp và thương mại. Với trụ sở tại Quận Bình Tân và văn phòng giao dịch tại Khu đô thị Vạn Phúc (Thủ Đức), công ty đã khẳng định vị thế thông qua các dự án đòi hỏi kỹ thuật cao và thẩm mỹ tinh tế. Chúng tôi cam kết mang lại giá trị thực thông qua quy trình làm việc minh bạch, ưu tiên hiệu suất sử dụng và tiết kiệm thời gian cho chủ đầu tư.
GIÁ TRỊ CỐT LÕI
Chất lượng: Đảm bảo tiêu chuẩn kỹ thuật khắt khe trong từng hạng mục thi công.
Hiệu suất: Tối ưu hóa không gian và công năng sử dụng dựa trên nhu cầu thực tế.
Tiết kiệm: Cân đối ngân sách thông qua các giải pháp vật liệu thông minh và quản lý thi công chuyên nghiệp.
Thẩm mỹ: Cập nhật các xu hướng kiến trúc hiện đại (Không gian xanh, Cổ điển, Tân cổ điển).
CÁC DỰ ÁN CHIẾN LƯỢC ĐÃ TRIỂN KHAI:
Staff House Côn Đảo: Dự án nhà ở chuyên gia với yêu cầu khắt khe về tiến độ và điều kiện vận chuyển vật tư biển đảo.
CMC Creative Space (TP.HCM): Tham gia triển khai không gian sáng tạo cho tập đoàn công nghệ hàng đầu.
Nhà phố Cổ điển &amp; Mái Thái: Hàng loạt công trình nhà ở dân dụng chất lượng cao, khẳng định thẩm mỹ và kỹ thuật xây dựng bền vững.
Không gian Thương mại: Thiết kế và thi công hệ thống quán cà phê sân vườn, nhà hàng hiện đại tại TP.HCM.Thông tin liên hệ chính thức:
VPGD: 10 đường số 2, KĐT Vạn Phúc, P. Hiệp Bình Phước, TP. Thủ Đức, TP.HCM.
Hotline: 0938 925 986
Email: toanthanhphat2020@gmail.com
Website: toanthanhphat.com.vn</t>
  </si>
  <si>
    <t>logo02-6709_w256.webp</t>
  </si>
  <si>
    <t>A059</t>
  </si>
  <si>
    <t>Lê Thị Phượng</t>
  </si>
  <si>
    <t>image_8_w256.webp</t>
  </si>
  <si>
    <t>CÔNG TY TNHH SẢN XUẤT THƯƠNG MẠI THỰC PHẨM THIỆN BẢO</t>
  </si>
  <si>
    <t>Thiên Bảo</t>
  </si>
  <si>
    <t>3200738294</t>
  </si>
  <si>
    <t>Screenshot 2026-03-18 155507.png</t>
  </si>
  <si>
    <t>Thôn Đồng Văn, Xã Triệu Cơ, Tỉnh Quảng Trị, Việt Nam</t>
  </si>
  <si>
    <t>0369602502</t>
  </si>
  <si>
    <t>thucphamsachthienbao@gmail.com</t>
  </si>
  <si>
    <t>https://thucphamthienbao.com</t>
  </si>
  <si>
    <t>https://www.facebook.com/thucphamsachthienbao</t>
  </si>
  <si>
    <t>Sản xuất Ngũ cốc dinh dưỡng</t>
  </si>
  <si>
    <t>Phân phối Thực phẩm hữu cơ</t>
  </si>
  <si>
    <t>Tinh bột sắn dây nguyên chất</t>
  </si>
  <si>
    <t>Trà gừng mật ong thảo mộc</t>
  </si>
  <si>
    <t>Mì rau củ cầu vồng</t>
  </si>
  <si>
    <t>Bột gừng hữu cơ sấy lạnh</t>
  </si>
  <si>
    <t>Cung ứng nông sản sạch</t>
  </si>
  <si>
    <t>Sản xuất thực phẩm dinh dưỡng</t>
  </si>
  <si>
    <t>NGON - SẠCH - LÀNH</t>
  </si>
  <si>
    <t>THỰC PHẨM THIỆN BẢO – TINH HOA NÔNG SẢN SẠCH TỪ ĐẤT QUẢNG TRỊ
"Dinh dưỡng từ tâm – Nâng tầm sức khỏe"
GIỚI THIỆU CHUNG
Công ty TNHH SXTM Thực phẩm Thiện Bảo là đơn vị chuyên sản xuất và cung ứng các dòng thực phẩm dinh dưỡng có nguồn gốc hoàn toàn từ tự nhiên. Với sứ mệnh mang nông sản xanh - sạch - chất lượng từ vùng đất Quảng Trị đến bàn ăn của mọi gia đình, Thiện Bảo cam kết quy trình sản xuất khép kín, đảm bảo an toàn vệ sinh thực phẩm và giữ trọn giá trị dinh dưỡng bản địa. Các sản phẩm của chúng tôi không chỉ là thực phẩm mà còn là giải pháp chăm sóc sức khỏe chủ động từ nguyên liệu hữu cơ.
DÒNG SẢN PHẨM CHỦ LỰC
Bột Dinh Dưỡng &amp; Ngũ Cốc: Nổi bật với Ngũ cốc 20 loại hạt và Bột dinh dưỡng mầm ngũ cốc &amp; rau củ, hỗ trợ tăng cường sức khỏe toàn diện.
Sản phẩm Giải nhiệt &amp; Thải độc: Tinh bột sắn dây nguyên chất thơm đặc trưng và Bột gừng 100% hữu cơ sấy lạnh, giữ nguyên dược tính tự nhiên.
Trà &amp; Thức uống ấm: Trà gừng hữu cơ kết hợp mật ong tươi dạng gói tiện lợi, giải pháp ấm áp cho sức khỏe hàng ngày.
Mì Rau Củ Nghệ Thuật: Mì sợi rau củ cầu vồng và mì trứng vàng, giải pháp thay thế bữa ăn lành mạnh, giàu chất xơ và vitamin.
GIÁ TRỊ CỐT LÕI
Sản phẩm Thiện Bảo nói không với đường tinh luyện và chất bảo quản hóa học. Chúng tôi tự hào mang đến những sản phẩm "Ngon - Sạch - Lành", được cộng đồng người tiêu dùng và các đối tác ăn chay, thực dưỡng tin dùng nhờ nguồn gốc minh bạch và chất lượng vượt trội.
THÔNG TIN LIÊN HỆ
Trụ sở: Thôn Đồng Văn, Xã Triệu Sơn, Huyện Triệu Phong, Tỉnh Quảng Trị.
Hotline: 0369 602 502 (Ms. Phượng) | 087 868 7474 (Mr. Tài)
Email: thucphamsachthienbao@gmail.com</t>
  </si>
  <si>
    <t>Screenshot 2026-03-18 155507_w256.webp</t>
  </si>
  <si>
    <t>image_8.png</t>
  </si>
  <si>
    <t>A060</t>
  </si>
  <si>
    <t>Dương Ngọc Tú</t>
  </si>
  <si>
    <t>1641612647258_w256.webp</t>
  </si>
  <si>
    <t>WISDOMLAND WORLD SCHOOL</t>
  </si>
  <si>
    <t>WISDOMLAND</t>
  </si>
  <si>
    <t>0313730558</t>
  </si>
  <si>
    <t>Screenshot 2026-03-18 184942.png</t>
  </si>
  <si>
    <t>TP HCM: Quận 2, Gò Vấp, BÌnh Thạnh, Quận 6</t>
  </si>
  <si>
    <t>0904189357</t>
  </si>
  <si>
    <t>tu.duong@wisdomlandpreschool.com</t>
  </si>
  <si>
    <t>84904189357</t>
  </si>
  <si>
    <t>https://wisdomland.edu.vn</t>
  </si>
  <si>
    <t>Chương trình Quốc tế &amp; Song ngữ</t>
  </si>
  <si>
    <t>Phương pháp Reggio Emilia</t>
  </si>
  <si>
    <t>Phát triển Ngôn ngữ (Anh - Việt)</t>
  </si>
  <si>
    <t>Nghệ thuật &amp; Sáng tạo (Atelier)</t>
  </si>
  <si>
    <t>Hoạt động Ngoại khóa &amp; Kỹ năng</t>
  </si>
  <si>
    <t>Chế độ Dinh dưỡng học đường</t>
  </si>
  <si>
    <t>Cơ sở vật chất chuẩn Quốc tế</t>
  </si>
  <si>
    <t>Gắn kết Gia đình &amp; Nhà trường</t>
  </si>
  <si>
    <t>WISDOMLAND INTERNATIONAL PRESCHOOL – KHƠI GỢI TIỀM NĂNG VÔ HẠN
"Nơi mỗi trẻ nhỏ là một nghệ sĩ, một nhà khoa học và một nhà thám hiểm"
TỔNG QUAN HỆ THỐNG
Wisdomland là hệ thống trường mầm non quốc tế hàng đầu tại TP.HCM, chuyên cung cấp môi trường giáo dục chất lượng cao cho trẻ từ 18 tháng đến 6 tuổi. Với nhiều cơ sở tọa lạc tại các vị trí đắc địa (Quận 2, Bình Thạnh...), Wisdomland tự hào mang đến một không gian học tập chuẩn quốc tế, nơi trẻ được khuyến khích phát triển tư duy độc lập, sự tự tin và lòng nhân ái.
TRIẾT LÝ GIÁO DỤC REGGIO EMILIA
Wisdomland vận dụng phương pháp tiếp cận Reggio Emilia (Ý) làm kim chỉ nam. Chúng tôi tin rằng mỗi trẻ em đều sở hữu "hàng trăm ngôn ngữ" để thể hiện bản thân. Tại đây, trẻ không chỉ học kiến thức mà còn học cách đặt câu hỏi, giải quyết vấn đề thông qua các dự án sáng tạo. Môi trường tại Wisdomland được thiết kế như "người thầy thứ ba", luôn thay đổi và tương tác để kích thích trí tò mò tự nhiên của trẻ.
ĐỘI NGŨ &amp; CHẤT LƯỢNG
Trường sở hữu đội ngũ giáo viên nước ngoài và Việt Nam giàu kinh nghiệm, tận tâm, được đào tạo chuyên sâu về tâm lý trẻ nhỏ và phương pháp giáo dục hiện đại. Sự kết hợp giữa chương trình quốc tế và các giá trị văn hóa Việt Nam giúp trẻ sẵn sàng bước vào các trường tiểu học quốc tế hoặc song ngữ danh tiếng.</t>
  </si>
  <si>
    <t>Screenshot 2026-03-18 184942_w256.webp</t>
  </si>
  <si>
    <t>1641612647258.jpg</t>
  </si>
  <si>
    <t>A061</t>
  </si>
  <si>
    <t>Phạm Thị Hồng</t>
  </si>
  <si>
    <t>Hong_w256.webp</t>
  </si>
  <si>
    <t>Giám đốc Kinh doanh Khu vực</t>
  </si>
  <si>
    <t>FWD Insurance</t>
  </si>
  <si>
    <t>36-38 Nguyễn Văn Trỗi, Phường Cầu Kiệu, TP. Hồ Chí Minh</t>
  </si>
  <si>
    <t>https://www.fwd.com.vn</t>
  </si>
  <si>
    <t>Bảo hiểm Nhân thọ &amp; Bảo vệ Tài chính</t>
  </si>
  <si>
    <t>Bảo hiểm Sức khỏe &amp; Trợ cấp Viện phí</t>
  </si>
  <si>
    <t>Bảo hiểm Bệnh hiểm nghèo đa tầng</t>
  </si>
  <si>
    <t>Giải pháp Đầu tư &amp; Gia tăng tài sản</t>
  </si>
  <si>
    <t>Kế hoạch Hưu trí An nhàn</t>
  </si>
  <si>
    <t>Quỹ Giáo dục &amp; Tương lai cho con</t>
  </si>
  <si>
    <t>1. GIỚI THIỆU CÔNG TY &amp; SẢN PHẨM DỊCH VỤ
FWD là tập đoàn bảo hiểm có mặt tại khắp Châu Á với tầm nhìn "thay đổi cảm nhận của mọi người về bảo hiểm". Tại Việt Nam, FWD nổi bật là công ty bảo hiểm kỹ thuật số hàng đầu, mang đến những trải nghiệm đột phá, quy trình đơn giản và sản phẩm dễ hiểu. Chúng tôi không chỉ cung cấp các giải pháp bảo vệ tài chính mà còn đồng hành cùng khách hàng để họ tự tin theo đuổi đam mê và "Hân hoan vui sống". Các dòng sản phẩm chủ lực bao gồm: Bảo hiểm nhân thọ bảo vệ trước các rủi ro lớn, Bảo hiểm sức khỏe chi trả viện phí, Bảo hiểm bệnh hiểm nghèo và các giải pháp đầu tư linh hoạt giúp gia tăng tài sản bền vững.
2. 6 LĨNH VỰC KINH DOANH CHỦ CHỐT
• Bảo hiểm Nhân thọ &amp; Bảo vệ Tài chính
• Bảo hiểm Sức khỏe &amp; Trợ cấp Viện phí
• Bảo hiểm Bệnh hiểm nghèo đa tầng
• Giải pháp Đầu tư &amp; Gia tăng tài sản
• Kế hoạch Hưu trí An nhàn
• Quỹ Giáo dục &amp; Tương lai cho con
3. THÔNG TIN LIÊN HỆ
• Đại diện: Bà Phạm Thị Hồng – Giám đốc Kinh doanh Khu vực
• Địa chỉ: 36-38 Nguyễn Văn Trỗi, Phường Cầu Kiệu, TP. Hồ Chí Minh
• Hotline: 0935 041 989
• Email: phamthihong207@gmail.com
• Website: www.fwd.com.vn</t>
  </si>
  <si>
    <t>Hong.jpg</t>
  </si>
  <si>
    <t>A062</t>
  </si>
  <si>
    <t>Nguyễn Hồng Trường</t>
  </si>
  <si>
    <t>Giám đốc</t>
  </si>
  <si>
    <t>CÔNG TY TNHH TIẾP THỊ DU LỊCH TRANS WORLD</t>
  </si>
  <si>
    <t>TRANS WORLD</t>
  </si>
  <si>
    <t>0314234312</t>
  </si>
  <si>
    <t>h_logo-3113.png</t>
  </si>
  <si>
    <t>307/6 Nguyễn Văn Trỗi, P. Tân Sơn Hoà, TP. Hồ Chí Minh</t>
  </si>
  <si>
    <t>0916887368</t>
  </si>
  <si>
    <t>transworldreps@gmail.com</t>
  </si>
  <si>
    <t>84916887368</t>
  </si>
  <si>
    <t>https://tripa.vn</t>
  </si>
  <si>
    <t>https://www.linkedin.com/in/nguyenhongtruong/</t>
  </si>
  <si>
    <t>Đại diện du lịch &amp; Tiếp thị thị trường</t>
  </si>
  <si>
    <t>Vé máy bay quốc tế &amp; nội địa</t>
  </si>
  <si>
    <t>Hệ thống Khách sạn toàn cầu</t>
  </si>
  <si>
    <t>Bảo hiểm du lịch &amp; định cư</t>
  </si>
  <si>
    <t>Dịch vụ du lịch tự túc linh hoạt</t>
  </si>
  <si>
    <t>Tour trọn gói &amp; Landtour chuyên sâu</t>
  </si>
  <si>
    <t>Dịch vụ Visa &amp; Hộ chiếu nhanh</t>
  </si>
  <si>
    <t>Tư vấn giải pháp lữ hành 4.0</t>
  </si>
  <si>
    <t>ĐẠI DIỆN CHIẾN LƯỢC, HÀNH TRÌNH ĐẲNG CẤP</t>
  </si>
  <si>
    <t>Sinh ra và lớn lên tại Gio An, Gio Linh, Quảng Trị – vùng đất giàu truyền thống và nghị lực – Nguyễn Hồng Trường là một trong những gương mặt tiêu biểu của cộng đồng doanh nghiệp du lịch Việt Nam.
Với niềm đam mê khám phá và khát vọng đưa du lịch Việt vươn tầm quốc tế, anh đã sáng lập Công ty TNHH Tiếp Thị Du Lịch Trans World cách đây 8 năm, với tầm nhìn xây dựng một thương hiệu du lịch uy tín, chuyên nghiệp và luôn lấy khách hàng làm trung tâm.
Hiện nay, Trans World đặt trụ sở tại Tòa nhà GMA, 307/6 Nguyễn Văn Trỗi, Phường Tân Sơn Hòa, TP. Hồ Chí Minh – một vị trí chiến lược giúp doanh nghiệp thuận tiện kết nối với đối tác trong và ngoài nước.
Dưới sự dẫn dắt của anh Nguyễn Hồng Trường, Trans World ngày càng mở rộng hoạt động, cung cấp đa dạng dịch vụ du lịch chất lượng cao:
👉 Tổ chức tour trong và ngoài nước
👉 Cung cấp vé máy bay quốc tế &amp; nội địa
👉 Làm văn phòng đại diện cho các đối tác nước ngoài tại Việt Nam
👉 Tư vấn và hỗ trợ nhiều dịch vụ du lịch liên quan
Trans World hiện đang đại diện cho nhiều thị trường quốc tế tiềm năng như UAE, Đông Âu, Brunei, Indonesia, Ấn Độ, Philippines…, góp phần mở ra những tuyến điểm mới và thúc đẩy giao lưu du lịch giữa Việt Nam và thế giới.
Trong lĩnh vực vé máy bay, Trans World là đại lý cấp 1 của nhiều hãng hàng không lớn như Cebu Pacific, AirAsia, IndiGo… Đặc biệt, doanh nghiệp từng được vinh danh Top Agent của AirAsia tại Việt Nam, khẳng định uy tín và năng lực vượt trội trong ngành.</t>
  </si>
  <si>
    <r>
      <rPr>
        <sz val="10"/>
        <rFont val="Arial"/>
      </rPr>
      <t xml:space="preserve">Công ty TNHH Tiếp thị Du lịch Trans World (Thương hiệu Tripa Holidays) là chuyên gia hàng đầu trong lĩnh vực quản lý điểm đến và đại diện tiếp thị du lịch tại thị trường Việt Nam. Với nền tảng kiến thức sâu rộng và mạng lưới đối tác toàn cầu, chúng tôi không chỉ cung cấp các dịch vụ lữ hành mà còn đóng vai trò là cầu nối chiến lược, tư vấn và phát triển thị trường cho các tập đoàn du lịch quốc tế. Trans World tự hào sở hữu hệ thống dịch vụ đa dạng từ vé máy bay, mạng lưới khách sạn cao cấp đến bảo hiểm toàn cầu, tất cả đều được vận hành dựa trên cam kết về tính chuyên nghiệp, sự đổi mới và tối ưu hóa trải nghiệm cho khách hàng trong từng hành trình tự túc hay tour trọn gói chuyên sâu.
Đại diện: Ông Nguyễn Hồng Trường – Giám đốc
Trụ sở: 307/6 Nguyễn Văn Trỗi, P. 1, Q. Tân Bình, TP. Hồ Chí Minh
Điện thoại: 0916 887 368 | (028) 3535 5945
Email: transworldreps@gmail.com | booking@tripa.vn
Website: </t>
    </r>
    <r>
      <rPr>
        <u/>
        <sz val="10"/>
        <rFont val="Arial"/>
      </rPr>
      <t>www.tripa.vn</t>
    </r>
    <r>
      <rPr>
        <sz val="10"/>
        <rFont val="Arial"/>
      </rPr>
      <t xml:space="preserve">
Mã số thuế: 0314234312</t>
    </r>
  </si>
  <si>
    <t>h_logo-3113_w256.webp</t>
  </si>
  <si>
    <t>A063</t>
  </si>
  <si>
    <t>Phạm Huy</t>
  </si>
  <si>
    <t>14792bb9-5d11-4498-a045-3cd51220e928_w256.webp</t>
  </si>
  <si>
    <t>CÔNG TY TNHH HOÁ MỸ PHẨM LINDA</t>
  </si>
  <si>
    <t>Hóa mỹ phẩm Linda</t>
  </si>
  <si>
    <t>3801314557</t>
  </si>
  <si>
    <t>b7b69f59-3604-4ac3-9a66-76ea7e88ef49.jpg</t>
  </si>
  <si>
    <t>Đường DT759, Thôn Bình Lợi, Xã Đa Kia, Tỉnh Đồng Nai</t>
  </si>
  <si>
    <t>0909833859</t>
  </si>
  <si>
    <t>huyphamck@gmail.com</t>
  </si>
  <si>
    <t>84909833859</t>
  </si>
  <si>
    <t>zalo.me/0909833859</t>
  </si>
  <si>
    <t>Sản xuất hóa mỹ phẩm gia dụng</t>
  </si>
  <si>
    <t>Nước giặt hương nước hoa cao cấp</t>
  </si>
  <si>
    <t>Nước rửa chén chiết xuất tự nhiên</t>
  </si>
  <si>
    <t>Nước lau sàn kháng khuẩn</t>
  </si>
  <si>
    <t>Cung cấp giải pháp làm sạch an toàn</t>
  </si>
  <si>
    <t>Phát triển hệ thống đại lý toàn quốc</t>
  </si>
  <si>
    <t>Công ty TNHH Hóa Mỹ Phẩm LINDA là đơn vị chuyên biệt trong lĩnh vực sản xuất và kinh doanh các dòng sản phẩm giặt rửa gia dụng chất lượng cao. Với tầm nhìn trở thành thương hiệu uy tín hàng đầu, LINDA cam kết cung cấp các giải pháp làm sạch hiệu quả, an toàn tuyệt đối cho sức khỏe và thân thiện với môi trường. Sản phẩm của chúng tôi được sản xuất dựa trên công nghệ tiên tiến, đáp ứng đầy đủ các tiêu chuẩn đo lường chất lượng, mang lại giá thành hợp lý cho gia đình Việt. Hệ sinh thái sản phẩm chủ lực bao gồm: Nước giặt hương nước hoa (Hoa hồng Pháp, Downy Đam mê), Nước rửa chén chiết xuất hương chanh và Nước lau sàn hương sả chanh tự nhiên.
Đại diện: Công ty TNHH Hóa Mỹ Phẩm LINDA
Địa chỉ: Tỉnh Bình Phước (Theo GPKD số 3801314557 do Sở KH&amp;ĐT Tỉnh Bình Phước cấp)
Điện thoại: [Vui lòng bổ sung số hotline để hoàn thiện]
Sản phẩm chính: Nước giặt, Nước rửa chén, Nước lau sàn nhà
Chứng chỉ: Kết quả thử nghiệm của Ủy ban tiêu chuẩn đo lường chất lượng</t>
  </si>
  <si>
    <t>b7b69f59-3604-4ac3-9a66-76ea7e88ef49_w256.webp</t>
  </si>
  <si>
    <t>14792bb9-5d11-4498-a045-3cd51220e928.jpg</t>
  </si>
  <si>
    <t>A064</t>
  </si>
  <si>
    <t>Nguyễn Thị Hoàng Anh</t>
  </si>
  <si>
    <t>70599cbf-ee97-4dcd-b212-39957f51af93_w256.webp</t>
  </si>
  <si>
    <t>Trưởng phòng KD Khách đoàn Quốc tế</t>
  </si>
  <si>
    <t>CÔNG TY CP ĐT TM DV DU LỊCH ĐẤT VIỆT</t>
  </si>
  <si>
    <t>Du lịch Đất Việt</t>
  </si>
  <si>
    <t>0309139335</t>
  </si>
  <si>
    <t>198 - 0.10 Phan Văn Trị, Phường Gò Vấp, Thành phố Hồ Chí Minh</t>
  </si>
  <si>
    <t>0912024347</t>
  </si>
  <si>
    <t>anh.nguyenhoang@datviettour.com.vn</t>
  </si>
  <si>
    <t>84912024347</t>
  </si>
  <si>
    <t>https://datviettour.com.vn</t>
  </si>
  <si>
    <t>Du lịch lữ hành Trong nước &amp; Quốc tế</t>
  </si>
  <si>
    <t>Tổ chức Team Building &amp; Gala Dinner</t>
  </si>
  <si>
    <t>Cho thuê xe du lịch đời mới (4-45 chỗ)</t>
  </si>
  <si>
    <t>Đại lý vé máy bay quốc tế &amp; nội địa</t>
  </si>
  <si>
    <t>Dịch vụ Visa, Hộ chiếu &amp; Giấy phép</t>
  </si>
  <si>
    <t>Dịch vụ Khách sạn &amp; Nhà hàng</t>
  </si>
  <si>
    <t>Tổ chức Sự kiện &amp; MICE chuyên sâu</t>
  </si>
  <si>
    <t>Du lịch hành hương &amp; Nghỉ dưỡng cao cấp</t>
  </si>
  <si>
    <t>ĐI LÀ THÍCH, ĐẾN LÀ TIN</t>
  </si>
  <si>
    <t>Được thành lập từ năm 2001, Đất Việt Tour là một trong những đơn vị lữ hành uy tín hàng đầu tại Việt Nam, vinh dự nhận giải thưởng "Top 10 Công ty Du lịch uy tín" nhiều năm liền. Với hơn 20 năm kinh nghiệm, Đất Việt Tour tự hào sở hữu hệ sinh thái dịch vụ lữ hành khép kín và chuyên nghiệp. Chúng tôi chuyên tổ chức các chương trình du lịch trong và ngoài nước, các sự kiện Team Building kết hợp Gala Dinner quy mô lớn cho các tập đoàn. Bên cạnh đó, đơn vị còn cung cấp các dịch vụ bổ trợ như đại lý vé máy bay cấp 1, cho thuê xe du lịch đời mới từ 4-45 chỗ và dịch vụ Visa, hộ chiếu chuyên nghiệp. Với đội ngũ hơn 200 nhân sự tâm huyết, Đất Việt Tour cam kết mang lại những giá trị dịch vụ "Chất lượng - Uy tín - Giá tốt nhất", đồng hành cùng khách hàng trong mọi hành trình khám phá thế giới.
Tên công ty: Công ty Cổ phần Đầu tư Du lịch Đất Việt
Trụ sở chính: 198 Phan Văn Trị, P.10, Quận Gò Vấp, TP. Hồ Chí Minh
Hệ thống chi nhánh: Quận 11, Quận 5, Thủ Đức, Bình Dương, Đồng Nai, Hà Nội
Tổng đài: 1800 6700 | Hotline: 0933 105 105
Email: sales@datviettour.com.vn
Website: datviettour.com.vn
Mã số thuế: 0303030232</t>
  </si>
  <si>
    <t>70599cbf-ee97-4dcd-b212-39957f51af93.jpg</t>
  </si>
  <si>
    <t>Nguyễn Sở Hàm</t>
  </si>
  <si>
    <t>NguyenSoHam.png</t>
  </si>
  <si>
    <t>NHA KHOA MARIS</t>
  </si>
  <si>
    <t>3703025772</t>
  </si>
  <si>
    <t>nhakhoamaris.jpg</t>
  </si>
  <si>
    <t>0919105227</t>
  </si>
  <si>
    <t>maithuong1610@gmail.com</t>
  </si>
  <si>
    <t>84919105227</t>
  </si>
  <si>
    <t>https://nhakhoamaris.com</t>
  </si>
  <si>
    <t>Nha khoa</t>
  </si>
  <si>
    <t>nhakhoamaris_w256.webp</t>
  </si>
  <si>
    <t>A066</t>
  </si>
  <si>
    <t>Trần Hào</t>
  </si>
  <si>
    <t>66_w256.webp</t>
  </si>
  <si>
    <t>CÔNG TY TNHH DÉCOR PLANTERS</t>
  </si>
  <si>
    <t>DÉCOR PLANTERS</t>
  </si>
  <si>
    <t>3703156221</t>
  </si>
  <si>
    <t>images.jpg</t>
  </si>
  <si>
    <t>Số 18, Đường Võ Thị Sáu, Tổ 3, KP. Khánh Long, Phường Tân Khánh, TP Hồ Chí Minh</t>
  </si>
  <si>
    <t>0925609666</t>
  </si>
  <si>
    <t>zalo.me/0925609666</t>
  </si>
  <si>
    <t>84925609666</t>
  </si>
  <si>
    <t>MST: 3703156221</t>
  </si>
  <si>
    <t>Sản xuất chậu cây trang trí cao cấp</t>
  </si>
  <si>
    <t>Tư vấn thiết kế cảnh quan nội thất</t>
  </si>
  <si>
    <t>Cung cấp chậu Composite &amp; Xi măng nhẹ</t>
  </si>
  <si>
    <t>Giải pháp cây xanh cho văn phòng</t>
  </si>
  <si>
    <t>Sản xuất chậu cây theo thiết kế riêng</t>
  </si>
  <si>
    <t>Cung ứng vật tư trang trí sân vườn</t>
  </si>
  <si>
    <t>NÂNG TẦM KHÔNG GIAN XANH</t>
  </si>
  <si>
    <t>Trần Hào – “Ông bầu” chậu composite và người tiếp lửa đam mê bóng đá đồng hương Quảng Trị!
Sinh năm 1981 tại xã Gio Sơn, huyện Gio Linh, tỉnh Quảng Trị, ông Trần Hào đã sớm rời quê vào Nam lập nghiệp từ năm 2000. Sau gần hai thập kỷ miệt mài lao động và tích lũy kinh nghiệm, đến năm 2018, ông chính thức thành lập Công ty TNHH Decor Planters tại tỉnh Bình Dương – doanh nghiệp chuyên sản xuất chậu composite và chậu xi măng cao cấp phục vụ trang trí nội – ngoại thất.
Với định hướng lấy chất lượng làm cốt lõi, sản phẩm của Decor Planters hiện đã có mặt rộng khắp các tỉnh, thành trong cả nước và xuất khẩu sang nhiều thị trường quốc tế.
Không chỉ là một doanh nhân thành đạt, ông Trần Hào còn được cộng đồng đồng hương Quảng Trị tại Bình Dương và TP. Hồ Chí Minh biết đến như một “ông bầu” đam mê bóng đá. Ông thường xuyên đồng hành, tài trợ cho nhiều giải đấu phong trào, góp phần tạo sân chơi lành mạnh, gắn kết bà con xa quê và lan tỏa tinh thần thể thao trong cộng đồng.
Với tâm huyết trong sản xuất và trái tim luôn hướng về quê hương, ông Trần Hào là hình ảnh tiêu biểu của người con Quảng Trị vượt khó, thành công và luôn sẵn sàng đóng góp cho cộng đồng.</t>
  </si>
  <si>
    <t>Công ty TNHH Décor Planters là đơn vị chuyên nghiệp trong lĩnh vực sản xuất và cung ứng các giải pháp chậu cây trang trí (planters) cao cấp cho không gian nội thất và ngoại thất. Với định hướng kết hợp giữa tính thẩm mỹ hiện đại và độ bền vượt trội, Décor Planters cung cấp đa dạng các dòng sản phẩm từ chậu xi măng nhẹ, composite đến các mẫu thiết kế tùy chỉnh theo yêu cầu kiến trúc. Chúng tôi cam kết mang đến những sản phẩm không chỉ là vật dụng trồng cây mà còn là những tác phẩm nghệ thuật, góp phần kiến tạo không gian xanh sang trọng và bền vững cho các dự án căn hộ, biệt thự, văn phòng và cảnh quan đô thị.
Tên công ty: CÔNG TY TNHH DÉCOR PLANTERS
Đại diện pháp luật: Bà Phạm Thị Thanh
Địa chỉ: Số 18, Đường Võ Thị Sáu, Tổ 3, KP. Khánh Long, Phường Tân Phước Khánh, Thành phố Tân Uyên, Tỉnh Bình Dương.
Điện thoại: 0925 609 666
Mã số thuế: 3703156221
Sản phẩm chủ lực: Chậu cây trang trí cao cấp, giải pháp cảnh quan xanh.</t>
  </si>
  <si>
    <t>66.png</t>
  </si>
  <si>
    <t>A067</t>
  </si>
  <si>
    <t>Hoàng Minh Anh</t>
  </si>
  <si>
    <t>Yg06k_w256.webp</t>
  </si>
  <si>
    <t>NGÂN HÀNG TMCP XUẤT NHẬP KHẨU VN - EXIMBANK THUẬN AN</t>
  </si>
  <si>
    <t>Eximbank Thuận An</t>
  </si>
  <si>
    <t>LogoEximbank4.jpg</t>
  </si>
  <si>
    <t>Số 499 Nguyễn Trãi, Phường Lái Thiêu, Thành phố Hồ Chí Minh</t>
  </si>
  <si>
    <t>0349772585</t>
  </si>
  <si>
    <t>anh.hm@eximbank.com.vn</t>
  </si>
  <si>
    <t>84349772585</t>
  </si>
  <si>
    <t>www.eximbank.com.vn</t>
  </si>
  <si>
    <t>Huy động tiền gửi &amp; Tiết kiệm</t>
  </si>
  <si>
    <t>Cho vay cá nhân &amp; Doanh nghiệp</t>
  </si>
  <si>
    <t>Dịch vụ Thẻ &amp; Ngân hàng số</t>
  </si>
  <si>
    <t>Thanh toán &amp; Chuyển tiền quốc tế</t>
  </si>
  <si>
    <t>Kinh doanh ngoại hối &amp; Vàng</t>
  </si>
  <si>
    <t>Các nghiệp vụ Bảo lãnh ngân hàng</t>
  </si>
  <si>
    <t>Dịch vụ Tài chính trọn gói</t>
  </si>
  <si>
    <t>Tư vấn Đầu tư &amp; Tài chính</t>
  </si>
  <si>
    <t>Eximbank Thuận An là đơn vị trực thuộc mạng lưới của Ngân hàng TMCP Xuất Nhập khẩu Việt Nam (Eximbank) – một trong những ngân hàng thương mại cổ phần đầu tiên tại Việt Nam. Với vị trí chiến lược tại khu vực kinh tế trọng điểm Thuận An, phòng giao dịch chuyên cung cấp các giải pháp tài chính đa dạng, từ huy động vốn, cho vay đến các dịch vụ thanh toán quốc tế và ngân hàng số hiện đại. Với phương châm lấy khách hàng làm trọng tâm, Eximbank Thuận An cam kết mang đến những trải nghiệm dịch vụ tin cậy, minh bạch và sáng tạo, đáp ứng mọi nhu cầu tài chính của cá nhân cũng như các doanh nghiệp trên địa bàn tỉnh Bình Dương.
Tên: HOÀNG MINH ANH
Chức vụ: Giám đốc Eximbank Thuận An
Số điện thoại cá nhân: 0349 772 585
Email: anh.hm@eximbank.com.vn
Tổ chức: NGÂN HÀNG TMCP XUẤT NHẬP KHẨU VIỆT NAM - EXIMBANK THUẬN AN
Địa chỉ: Số 499 Nguyễn Trãi, Phường Lái Thiêu, Thành phố Hồ Chí Minh
Điện thoại văn phòng: (+84.27) 4363 6036
Website: www.eximbank.com.vn
Giờ làm việc: Thứ Hai – Thứ Sáu (Sáng: 07:30 – 11:30; Chiều: 13:00 – 17:00)</t>
  </si>
  <si>
    <t>LogoEximbank4_w256.webp</t>
  </si>
  <si>
    <t>Yg06k.jpg</t>
  </si>
  <si>
    <t>A068</t>
  </si>
  <si>
    <t>Nguyễn Quốc Hưng</t>
  </si>
  <si>
    <t>image_w256.webp</t>
  </si>
  <si>
    <t>CÔNG TY TNHH SẢN XUẤT VÀ THƯƠNG MẠI NGOTICO</t>
  </si>
  <si>
    <t>Nội thất Ngọc Thịnh</t>
  </si>
  <si>
    <t>3603696223</t>
  </si>
  <si>
    <t>logo-ngoc-thinh.webp</t>
  </si>
  <si>
    <t>Tổ 7, Ấp Trầu, Xã Nhơn Trạch, Tỉnh Đồng Nai</t>
  </si>
  <si>
    <t>Số 149, đường Phạm Văn Đồng, ấp Cầu Xéo, Xã Long Thành, Tỉnh Đồng Nai</t>
  </si>
  <si>
    <t>0962337024</t>
  </si>
  <si>
    <t>noithatngocthinh68@gmail.com</t>
  </si>
  <si>
    <t>84962337024</t>
  </si>
  <si>
    <t>https://ngocthinh.com</t>
  </si>
  <si>
    <t>https://www.facebook.com/NoithatNgocThinh</t>
  </si>
  <si>
    <t>Nội thất Văn phòng &amp; Lãnh đạo</t>
  </si>
  <si>
    <t>Nội thất Gia đình &amp; Căn hộ</t>
  </si>
  <si>
    <t>Nội thất Trường học &amp; Phòng chức năng</t>
  </si>
  <si>
    <t>Nội thất Bệnh viện &amp; Y tế</t>
  </si>
  <si>
    <t>Thiết kế &amp; Setup văn phòng trọn gói</t>
  </si>
  <si>
    <t>Cung cấp Két sắt &amp; Tủ sắt an toàn</t>
  </si>
  <si>
    <t>Nội thất Hội trường &amp; Khách sạn</t>
  </si>
  <si>
    <t>Thi công Nội thất công trình &amp; KCN</t>
  </si>
  <si>
    <t>KIẾN TẠO KHÔNG GIAN, NÂNG TẦM GIÁ TRỊ</t>
  </si>
  <si>
    <t>Nội Thất Ngọc Thịnh tự hào là đơn vị hàng đầu với hơn 10 năm kinh nghiệm trong lĩnh vực tư vấn, cung cấp và thi công nội thất chất lượng cao tại Việt Nam. Với sứ mệnh kiến tạo không gian sống và làm việc hiện đại, tiện nghi, chúng tôi chuyên cung cấp giải pháp nội thất trọn gói từ A-Z cho đa dạng phân khúc từ văn phòng, gia đình đến các công trình đặc thù như trường học, bệnh viện và khu công nghiệp. Sản phẩm của Ngọc Thịnh là sự kết hợp hoàn hảo giữa tính thẩm mỹ thời thượng và công năng sử dụng tối ưu, đi kèm mức giá cạnh tranh nhất thị trường. Chúng tôi cam kết lấy Uy tín – Chất lượng – Tận tâm làm kim chỉ nam để mang lại sự hài lòng tuyệt đối cho khách hàng trên toàn quốc.
Tên đơn vị: Nội Thất Ngọc Thịnh
Địa chỉ: 149 Phạm Văn Đồng, Cầu Xéo, Long Thành, Đồng Nai
Hotline/Zalo: 0849 277 778
Email: noithatngocthinh68@gmail.com
Website: ngocthinh.com
Dịch vụ chủ lực: Setup văn phòng trọn gói, thi công nội thất công trình, cung cấp thiết bị nội thất y tế và giáo dục.</t>
  </si>
  <si>
    <t>image.jpg</t>
  </si>
  <si>
    <t>A069</t>
  </si>
  <si>
    <t>Nguyễn Ngọc Tuân</t>
  </si>
  <si>
    <t>3596bcd2-797c-41cd-bf64-f00a3a1eb561_w256.webp</t>
  </si>
  <si>
    <t>Giám đốc Phát triển Kinh doanh</t>
  </si>
  <si>
    <t>TỔNG CÔNG TY CỔ PHẦN BẢO HIỂM QUÂN ĐỘI (MIC)</t>
  </si>
  <si>
    <t>MIC Hội sở TP.HCM</t>
  </si>
  <si>
    <t>0102385623-027</t>
  </si>
  <si>
    <t>9d8ed5_f10796ace8434a34805495bda7e6df2b~mv2.avif</t>
  </si>
  <si>
    <t>Tầng 8, Tòa nhà 198A, Đường 3/2, Phường Hòa Hưng, TP Hồ Chí Minh</t>
  </si>
  <si>
    <t>0938237246</t>
  </si>
  <si>
    <t>tuannn.mic@gmail.com</t>
  </si>
  <si>
    <t>84938237246</t>
  </si>
  <si>
    <t>https://mic.vn</t>
  </si>
  <si>
    <t>Bảo hiểm Xe cơ giới</t>
  </si>
  <si>
    <t>Bảo hiểm Tài sản - Kỹ thuật</t>
  </si>
  <si>
    <t>Bảo hiểm Con người</t>
  </si>
  <si>
    <t>Bảo hiểm Hàng hải</t>
  </si>
  <si>
    <t>Bảo hiểm Trách nhiệm, Hỗn hợp</t>
  </si>
  <si>
    <t>Bảo hiểm Hàng không - Năng lượng</t>
  </si>
  <si>
    <t>Tổng Công ty Cổ phần Bảo hiểm Quân đội (MIC) được thành lập theo Nghị quyết của Quân ủy Trung ương và nhận giấy phép hoạt động từ năm 2007. Với vị thế là một trong những doanh nghiệp bảo hiểm hàng đầu Việt Nam, MIC không chỉ phục vụ các đơn vị trong quân đội mà còn cung cấp giải pháp bảo vệ toàn diện cho mọi tầng lớp khách hàng. Trong đó, MIC Long An là thành viên then chốt tại khu vực miền Tây, chuyên tư vấn các chương trình bảo hiểm tối ưu từ tài sản, xe cơ giới đến sức khỏe con người. Với đội ngũ chuyên gia giàu kinh nghiệm và tinh thần "kỷ luật quân đội", MIC Long An cam kết là người bạn đồng hành tin cậy, giúp khách hàng hóa giải rủi ro và xây dựng những hành trình an toàn, bền vững.
Tên đơn vị: Công ty Bảo hiểm MIC Long An (Thuộc Tổng Công ty CP Bảo hiểm Quân đội)
Địa chỉ: Số 357A Quốc lộ 1, Phường 4, Thành phố Tân An, Tỉnh Long An.
Ngày thành lập: 12/10/2007
Hotline hỗ trợ: 1900 558891 (Tổng đài chung)
Website: mic.vn
Sản phẩm chủ lực: Bảo hiểm xe cơ giới, Bảo hiểm sức khỏe, Bảo hiểm tài sản &amp; cháy nổ.</t>
  </si>
  <si>
    <t>9d8ed5_f10796ace8434a34805495bda7e6df2b~mv2_w256.webp</t>
  </si>
  <si>
    <t>3596bcd2-797c-41cd-bf64-f00a3a1eb561.jpg</t>
  </si>
  <si>
    <t>A070</t>
  </si>
  <si>
    <t>Lê Chí Trung</t>
  </si>
  <si>
    <t>Gemini_Generated_Image_17zevx17zevx17ze_W1024.webp</t>
  </si>
  <si>
    <t>TVP GROUP</t>
  </si>
  <si>
    <t>tvp.jpg</t>
  </si>
  <si>
    <t>100/105 Đường số 3, Phường Thông Tây Hội, TP. Hồ Chí Minh</t>
  </si>
  <si>
    <t>0909517977</t>
  </si>
  <si>
    <t>email@qtbc.vn</t>
  </si>
  <si>
    <t>qtbc.vn/m?c=A070</t>
  </si>
  <si>
    <t>Thi công nhôm kính</t>
  </si>
  <si>
    <t>Nội thất gỗ (tủ, bàn, giường)</t>
  </si>
  <si>
    <t>tvp_w256.webp</t>
  </si>
  <si>
    <t>Hồ Xuân Hiệp</t>
  </si>
  <si>
    <t>Gemini_Generated_Image_b5u4m0b5u4m0b5u4_W1024.webp</t>
  </si>
  <si>
    <t>CÔNG TY TNHH KIẾN TRÚC XÂY DỰNG DOLPHIN</t>
  </si>
  <si>
    <t>KT-XD DOLPHIN</t>
  </si>
  <si>
    <t>0317631653</t>
  </si>
  <si>
    <t>logo-1749265779.png</t>
  </si>
  <si>
    <t>68/76 Đồng Nai, Phường Hòa Hưng, TP.HCM</t>
  </si>
  <si>
    <t>115/86 Lê Văn Sỹ,Phường Phú Nhuận, TP.HCM</t>
  </si>
  <si>
    <t>0902492330</t>
  </si>
  <si>
    <t>design@dolphincons.vn</t>
  </si>
  <si>
    <t>https://dolphincons.vn</t>
  </si>
  <si>
    <t>Tư vấn &amp; Thiết kế Kiến trúc</t>
  </si>
  <si>
    <t>Thi công xây dựng công trình dân dụng</t>
  </si>
  <si>
    <t>Thiết kế &amp; Thi công nội thất cao cấp</t>
  </si>
  <si>
    <t>Thiết kế &amp; Quy hoạch cảnh quan</t>
  </si>
  <si>
    <t>Tư vấn Quản lý dự án &amp; Giám sát</t>
  </si>
  <si>
    <t>Cải tạo &amp; Nâng cấp công trình công nghiệp</t>
  </si>
  <si>
    <t>Thiết kế nhà xưởng &amp; Cơ sở hạ tầng</t>
  </si>
  <si>
    <t>Setup không gian thương mại &amp; Nghỉ dưỡng</t>
  </si>
  <si>
    <t>KIẾN TẠO HẠNH PHÚC ĐẾN MỌI CÔNG TRÌNH</t>
  </si>
  <si>
    <t>Công Ty TNHH Kiến Trúc Xây Dựng Dolphin (Dolphincons) là thương hiệu chuyên sâu và uy tín trong lĩnh vực tư vấn thiết kế, thi công kiến trúc, nội thất và cảnh quan. Với đội ngũ ban điều hành gồm các kiến trúc sư, kỹ sư và chuyên gia dày dạn kinh nghiệm, Dolphincons đã khẳng định năng lực qua hàng loạt dự án đa dạng từ công trình dân dụng (nhà phố, biệt thự), công nghiệp (nhà xưởng Apollo, Viet Sun) đến các dự án nghỉ dưỡng và thương mại cao cấp (Khách sạn Bình Tiên, Café Góc Phố). Chúng tôi cung cấp giải pháp toàn diện "từ ý tưởng đến vận hành", cam kết kết nối hài hòa giữa giá trị thẩm mỹ hiện đại, công năng sử dụng tối ưu và độ bền vững theo thời gian. Sự minh bạch trong chi phí, tiến độ chuẩn xác và tinh thần tận tâm trong từng chi tiết thi công là những giá trị cốt lõi giúp Dolphincons nhận được sự tin tưởng tuyệt đối từ khách hàng và đối tác.
Đại diện: Ông Hồ Xuân Hiệp (Giám đốc) &amp; KTS Phạm V.H Minh Đăng (CEO)
Trụ sở: 68/76 Đồng Nai, Phường Hòa Hưng, TP.HCM
Văn phòng giao dịch: 115/86 Lê Văn Sỹ, Phường Phú Nhận, TP.HCM
Hotline: 0918 063 789 – 0862 611 671 – 0902 492 330
Email: design@dolphincons.vn
Website: dolphincons.vn
Dự án tiêu biểu: Khu du lịch Bình Tiên, Nhà máy Viet Sun Hà Tĩnh, Nhà xưởng Apollo, Khách sạn Quê Hương, Hệ thống nhà phố cao cấp tại TP.HCM.</t>
  </si>
  <si>
    <t>0827175450</t>
  </si>
  <si>
    <t>logo-1749265779_w256.webp</t>
  </si>
  <si>
    <t>A072</t>
  </si>
  <si>
    <t>Trần Trình</t>
  </si>
  <si>
    <t>Gemini_Generated_Image_biteo0biteo0bite_W1024.webp</t>
  </si>
  <si>
    <t>CÔNG TY TNHH THIẾT BỊ AN BẢO MINH</t>
  </si>
  <si>
    <t>An Bảo Minh</t>
  </si>
  <si>
    <t>Trụ sở: 75 Quân Sự, Phường Phú Thọ, TP. Hồ Chí Minh</t>
  </si>
  <si>
    <t>VPGD: 49/39/13 Phạm Văn Chiêu, Phường An Hội Tây, TP. Hồ Chí Minh</t>
  </si>
  <si>
    <t>www.anbaominh.com</t>
  </si>
  <si>
    <t>https://www.facebook.com/anbao.minh.50</t>
  </si>
  <si>
    <t>Phân phối, thi công, lắp đặt</t>
  </si>
  <si>
    <t>Hệ thống LED quảng cáo</t>
  </si>
  <si>
    <t>Các giải pháp kỹ thuật An Bảo Minh</t>
  </si>
  <si>
    <t>Hệ thống năng lượng mặt trời</t>
  </si>
  <si>
    <t>COI CHẤT LƯỢNG DỊCH VỤ LÀ TIÊN PHONG</t>
  </si>
  <si>
    <t>Được thành lập từ ngày 10/10/2012, Công ty TNHH Thiết bị An Bảo Minh là đơn vị tiên phong trong lĩnh vực tư vấn, thi công và lắp đặt hệ thống camera quan sát và thiết bị an ninh tại Việt Nam. Với nền tảng công nghệ hiện đại và đội ngũ nhân sự chuyên môn cao, An Bảo Minh đã khẳng định uy tín qua hàng loạt dự án tiêu biểu cho các đơn vị lớn như Bệnh viện Chợ Rẫy, Tân Huê Viên, Tổng công ty 28 và nhiều hệ thống trường học, nhà máy. Chúng tôi chuyên cung cấp các giải pháp giám sát toàn diện từ hộ gia đình, văn phòng đến các khu công nghiệp phức hợp, đảm bảo sự ổn định về kỹ thuật và dịch vụ hậu mãi chu đáo. Với phương châm lấy "Nhân sự - Công nghệ" làm trụ cột phát triển, An Bảo Minh cam kết mang đến sự an tâm tuyệt đối và bảo vệ tối ưu tài sản cho mọi khách hàng.
Tên đơn vị: Công ty TNHH Thiết bị An Bảo Minh
Trụ sở: 75 Quân Sự, Phường Phú Thọ, TP. Hồ Chí Minh
VPGD: 49/39/13 Phạm Văn Chiêu, Phường An Hội Tây, TP. Hồ Chí Minh
Hotline: 0906 924 299 | (028) 3831 4181
Email: anbaominhme@gmail.com
Website: anbaominh.com | vienthongsaigon.vn
Sản phẩm chủ lực: Camera AVTECH (Đài Loan), VANTECH (Việt Nam), hệ thống báo động, thiết bị viễn thông.</t>
  </si>
  <si>
    <t>www.vienthongsaigon.vn</t>
  </si>
  <si>
    <t>Phạm Thị Phương Lan</t>
  </si>
  <si>
    <t>Gemini_Generated_Image_enullienullienul_W1024.webp</t>
  </si>
  <si>
    <t>CÔNG TY TNHH TM DV LAVENER DENTAL</t>
  </si>
  <si>
    <t>0319016357</t>
  </si>
  <si>
    <t>480282260_611050961713302_409808744266562024_n.jpg</t>
  </si>
  <si>
    <t>182 Đường Song Hành, KĐT Lakeview, Phường Bình Trưng, TP. HCM</t>
  </si>
  <si>
    <t>0967340123</t>
  </si>
  <si>
    <t>phamthiphuonglan181093@gmail.com</t>
  </si>
  <si>
    <t>84967340123</t>
  </si>
  <si>
    <t>https://lavener.vn</t>
  </si>
  <si>
    <t>https://fb.com/lavenerdental</t>
  </si>
  <si>
    <t>Nha khoa Thẩm mỹ &amp; Răng sứ</t>
  </si>
  <si>
    <t>Trồng răng Implant tiêu chuẩn Đức</t>
  </si>
  <si>
    <t>Chỉnh nha &amp; Niềng răng chuyên sâu</t>
  </si>
  <si>
    <t>Điều trị bệnh lý răng miệng tổng quát</t>
  </si>
  <si>
    <t>Nha khoa trẻ em &amp; Dự phòng</t>
  </si>
  <si>
    <t>Phục hình răng sứ thẩm mỹ cao cấp</t>
  </si>
  <si>
    <t>Tẩy trắng răng &amp; Chăm sóc nụ cười</t>
  </si>
  <si>
    <t>Thiết kế nụ cười &amp; Nhân tướng học</t>
  </si>
  <si>
    <t>NỤ CƯỜI BẠN, SỨ MỆNH CHÚNG TÔI</t>
  </si>
  <si>
    <t>Trung tâm Nha khoa Lavener Dental là đơn vị chuyên khoa răng hàm mặt uy tín, được xây dựng trên nền tảng y đức và chuyên môn vững chắc. Với tầm nhìn kiến tạo một "Hệ sinh thái Nha khoa Nhân văn" chuẩn quốc tế, Lavener không chỉ tập trung vào việc điều trị các vấn đề răng miệng trước mắt mà còn đặc biệt chú trọng đến lợi ích sức khỏe bền vững cho nhiều thế hệ khách hàng. Tên gọi "Lavener" được lấy cảm hứng từ hoa Lavender – biểu tượng của sự dịu dàng và chữa lành, phản ánh qua không gian phòng khám sang trọng, tinh tế với tone màu xanh tím và vàng gold, giúp khách hàng luôn cảm thấy an tâm và thư giãn.
Tại Lavener, chúng tôi vận hành theo nguyên tắc: "Y đức là ranh giới cao nhất, chuyên môn dẫn lối và sự tử tế làm gốc". Mọi quy trình từ tư vấn đến điều trị đều đảm bảo tính minh bạch, khoa học và an toàn tuyệt đối nhờ hệ thống máy móc tiêu chuẩn Đức (chụp X-quang Conebeam CT, hệ thống tiệt trùng vô khuẩn nhập khẩu trực tiếp). Chúng tôi tự hào đồng hành cùng khách hàng trong hành trình chăm sóc nụ cười, nơi mỗi ca điều trị là một sự cam kết về chất lượng và trách nhiệm lâu dài.
Tên đơn vị: Trung tâm Nha khoa Lavener Dental
Địa chỉ: 182 Song Hành, KĐT Lakeview, Phường An Phú (Bình Trưng cũ), TP. Thủ Đức, TP. Hồ Chí Minh.
Hotline hỗ trợ: 0769 680 686 | 0905 509 886
Email: lavenerdental@gmail.com
Giờ làm việc: 08:00 – 20:00 (Mở cửa từ Thứ Ba đến Chủ Nhật – Nghỉ Thứ Hai hàng tuần).
Dịch vụ trọng tâm: Cấy ghép Implant, Niềng răng chuyên sâu, Răng sứ thẩm mỹ cao cấp và Nha khoa tổng quát cho gia đình.</t>
  </si>
  <si>
    <t>480282260_611050961713302_409808744266562024_n_w256.webp</t>
  </si>
  <si>
    <t>Nguyễn Hà Nhi</t>
  </si>
  <si>
    <t>Gemini_Generated_Image_a2vypza2vypza2vy_W1024.webp</t>
  </si>
  <si>
    <t>CÔNG TY TNHH SẢN XUẤT NGUYỄN HOÀNG</t>
  </si>
  <si>
    <t>Nguyễn Hoàng Aqua</t>
  </si>
  <si>
    <t>0309326134</t>
  </si>
  <si>
    <t>logo-2024-png-1.png</t>
  </si>
  <si>
    <t>25/4R Ấp 29, xã Xuân Thới Sơn, TP. Hồ Chí Minh</t>
  </si>
  <si>
    <t>0706159968</t>
  </si>
  <si>
    <t>nhco.aqua@gmail.com</t>
  </si>
  <si>
    <t>https://nguyenhoangaqua.vn</t>
  </si>
  <si>
    <t>Sản xuất Thuốc thú y thủy sản</t>
  </si>
  <si>
    <t>Chế phẩm sinh học &amp; Men vi sinh</t>
  </si>
  <si>
    <t>Hóa chất xử lý môi trường ao nuôi</t>
  </si>
  <si>
    <t>Nhóm Dinh dưỡng &amp; Tăng sức đề kháng</t>
  </si>
  <si>
    <t>Thảo dược hỗ trợ điều trị Gan - Tụy</t>
  </si>
  <si>
    <t>Nhập khẩu &amp; Phân phối nguyên liệu</t>
  </si>
  <si>
    <t>Tư vấn kỹ thuật nuôi trồng thủy sản</t>
  </si>
  <si>
    <t>Giải pháp cải tạo nước cho Tôm, Cá</t>
  </si>
  <si>
    <t>ĐỒNG HÀNH CÙNG PHÁT TRIỂN</t>
  </si>
  <si>
    <t>GIỚI THIỆU TỔNG QUAN &amp; LIÊN HỆ
Công ty TNHH Sản Xuất Nguyễn Hoàng (Nguyễn Hoàng Aqua) là đơn vị chuyên gia với bề dày kinh nghiệm từ năm 2009 trong lĩnh vực sản xuất, kinh doanh và xuất nhập khẩu thuốc thú y thủy sản, chế phẩm sinh học cùng các giải pháp công nghệ xử lý môi trường nuôi trồng. Với triết lý "Khách hàng là trọng tâm – Con người là then chốt", chúng tôi không chỉ cung cấp sản phẩm mà còn mang đến những giải pháp kỹ thuật thực tiễn, giúp người nuôi Tôm, Cá và Ếch tối ưu hóa năng suất và lợi nhuận.
Hệ sinh thái sản phẩm của Nguyễn Hoàng Aqua được nghiên cứu kỹ lưỡng, đáp ứng đầy đủ các giai đoạn nuôi trồng:
Giải pháp Môi trường &amp; Vi sinh: Các dòng ProtiPol, Yucca Pond, Yucca Liquid 100, NH-B52 và Bio Mill giúp xử lý nước, cải tạo đáy ao và kiểm soát tảo bền vững.
Dinh dưỡng &amp; Hỗ trợ điều trị: Các dòng thảo dược và khoáng chất cao cấp như Liver G20, Liver-G9, Glucan Fort, NH-C TAT 35 và Khoáng Nóng giúp vật nuôi tăng cường đề kháng và bảo vệ chức năng gan thụy.
Sát khuẩn &amp; Diệt khuẩn: Các hoạt chất mạnh mẽ như BKC 80, Kill Pro cùng các loại nguyên liệu nhập khẩu đạt tiêu chuẩn quốc tế.
Với đội ngũ chuyên viên trình độ cao và tinh thần làm việc "Nhanh nhất – Giá trị nhất", Nguyễn Hoàng Aqua cam kết là người bạn trung thành, cùng quý khách hàng và đối tác xây dựng một nền thủy sản Việt Nam hiện đại và phồn thịnh.
Tên đơn vị: Công ty TNHH Sản Xuất Nguyễn Hoàng (Nguyễn Hoàng Aqua)
Địa chỉ: Số 25/4R Ấp Xuân Thới Đông 1, Xã Xuân Thới Sơn, Thành phố Hồ Chí Minh.
Hotline hỗ trợ: 0589 24.24.24
Kinh doanh: 0937 147 257 | Hỗ trợ kỹ thuật: 0913 171 469
Email: nhco.aqua@gmail.com
Mã số thuế: 0309326134</t>
  </si>
  <si>
    <t>logo-2024-png-1_w256.webp</t>
  </si>
  <si>
    <t>A075</t>
  </si>
  <si>
    <t>Trần Lê Quỳnh Diễm</t>
  </si>
  <si>
    <t>A068_TRẦN LÊ QUỲNH DIỄM_w256.webp</t>
  </si>
  <si>
    <t>An Xuân</t>
  </si>
  <si>
    <t>3200711052</t>
  </si>
  <si>
    <t>Logo-cagaileo.png</t>
  </si>
  <si>
    <t>Số 144 đường 2/4, Xã Cam Lộ, Quảng Trị</t>
  </si>
  <si>
    <t>0964419144</t>
  </si>
  <si>
    <t>anxuan.herb@gmail.com</t>
  </si>
  <si>
    <t>84964419144</t>
  </si>
  <si>
    <t>https://cagaileoanxuan.vn</t>
  </si>
  <si>
    <t>http://fb.com/cagaileoanxuan</t>
  </si>
  <si>
    <t>Sản xuất Cao Cà gai leo GACP</t>
  </si>
  <si>
    <t>Trà thảo dược túi lọc hữu cơ</t>
  </si>
  <si>
    <t>Dược liệu OCOP 5 sao xuất khẩu</t>
  </si>
  <si>
    <t>Tư vấn giải độc &amp; Bảo vệ gan</t>
  </si>
  <si>
    <t>Canh tác dược liệu chuẩn GACP</t>
  </si>
  <si>
    <t>Cao thảo dược đặc trị (An xoa, Chè vằng)</t>
  </si>
  <si>
    <t>Trà hỗ trợ giấc ngủ &amp; Dạ dày</t>
  </si>
  <si>
    <t>Cung ứng dược liệu sạch toàn quốc</t>
  </si>
  <si>
    <t>ĐẬP TAN NỖI LO VỀ GAN CỦA BẠN</t>
  </si>
  <si>
    <t>Trần Lê Quỳnh Diễm – một người con thuộc thế hệ 9x, sinh ra và lớn lên tại Thị trấn Cam Lộ, huyện Cam Lộ, tỉnh Quảng Trị. Tốt nghiệp cử nhân Trường Đại học Kinh tế TP. Hồ Chí Minh, Diễm từng tích lũy kinh nghiệm làm việc tại nhiều doanh nghiệp lớn nhỏ giữa lòng đô thị sôi động bậc nhất cả nước. Thế nhưng, sau tất cả, cô vẫn lựa chọn trở về quê hương – nơi đã nuôi dưỡng những ước mơ và hoài bão của mình.
Tiếp nối đam mê và tâm huyết của mẹ, Diễm đảm nhận vai trò dẫn dắt Công ty TNHH Dược liệu Hữu cơ An Xuân, từng bước khẳng định vị thế thương hiệu trong lĩnh vực nông nghiệp hữu cơ. An Xuân đã gặt hái nhiều thành tựu nổi bật: sản phẩm Cao Cà gai leo đạt chứng nhận OCOP 5 sao; 8 sản phẩm trà thảo dược như Cà gai leo, Diếp cá, Mướp đắng, Tía tô, Cần tây, Lạc tiên tâm an, Rau má và cao An Xoa đạt chứng nhận OCOP 4 sao. Ngoài ra, vùng trồng cà gai leo của công ty cũng vinh dự nhận được chứng nhận Thực hành tốt nuôi trồng và thu hái dược liệu (GACP-WHO) do Tổ chức Y tế Thế giới cấp.
Trải qua gần 8 năm nghiên cứu và phát triển, các sản phẩm mang thương hiệu An Xuân – đặc biệt là dòng sản phẩm từ cà gai leo – đã vươn xa khỏi miền “đất lửa” Quảng Trị. Hiện nay, sản phẩm đã có mặt trên hơn 10 sàn thương mại điện tử lớn, phân phối qua hơn 200 đại lý trên toàn quốc, có mặt tại hơn 100 siêu thị tại thủ đô Viêng Chăn (Lào), và là đối tác cung cấp nguyên liệu cho thị trường Mỹ cũng như một số nước châu Âu…</t>
  </si>
  <si>
    <t>Công ty TNHH Dược Liệu Hữu Cơ An Xuân là đơn vị tiên phong tại Quảng Trị chuyên canh và sản xuất các dòng dược liệu quý theo tiêu chuẩn GACP-WHO và hướng hữu cơ vi sinh. Với tâm nguyện "Đập tan nỗi lo về gan", An Xuân đã xây dựng vùng nguyên liệu chuyên canh trên vùng đất nắng gió Cam Lộ – nơi tuy khắc nghiệt nhưng lại cho dược tính trong cây thuốc cao vượt trội. Sản phẩm của An Xuân tự hào nhận huy chương vàng "Sản phẩm vì sức khỏe cộng đồng" và đã xuất khẩu chính ngạch thành công sang thị trường Mỹ vào đầu năm 2026. Chúng tôi cam kết mang đến những sản phẩm thực sự sạch, không hóa chất, giữ trọn tinh túy thảo dược để bảo vệ lá gan và nâng cao chất lượng sống cho cộng đồng.
Hệ sinh thái sản phẩm và dịch vụ của An Xuân bao gồm:
Dòng Cao Thảo Dược: Cao Cà gai leo (hòa tan cao cấp, chiết rễ, nguyên liệu chọn), Cao An xoa, Cao Chè vằng Cam Lộ. Đây là những dòng sản phẩm chủ lực giúp giải độc gan, hạ men gan, hỗ trợ điều trị viêm gan virus và xơ gan.
Dòng Trà Thảo Dược: Trà túi lọc đa dạng như Cà gai leo, Lạc tiên – Tâm an (hỗ trợ giấc ngủ), Trà Dạ dày, Trà Tía tô, Diếp cá, Rau má, Mướp đắng và Cần tây.
Dịch vụ &amp; Cam kết: Tư vấn sức khỏe gan miễn phí 24/7, chuyển giao kỹ thuật canh tác hữu cơ cho hộ liên kết và cung ứng dược liệu đạt chuẩn OCOP 5 sao.
Tên đơn vị: Công ty TNHH Dược Liệu Hữu Cơ An Xuân
Địa chỉ: Số 144 đường 2/4, Đô thị Cam Lộ, Tỉnh Quảng Trị.
Hotline tư vấn: 077 441 9144
Email: anxuan.herb@gmail.com
Website: www.cagaileoanxuan.vn
Mã số thuế: 3200711052</t>
  </si>
  <si>
    <t>Logo-cagaileo_w256.webp</t>
  </si>
  <si>
    <t>A068_TRẦN LÊ QUỲNH DIỄM.png</t>
  </si>
  <si>
    <t>A076</t>
  </si>
  <si>
    <t>Nguyễn Anh Sáng</t>
  </si>
  <si>
    <t>3aed040b-ff18-4296-babe-d40565b926aa_w256.webp</t>
  </si>
  <si>
    <t>CÔNG TY TNHH THƯƠNG MẠI DỊCH VỤ SẢN XUẤT KHANG MINH PHÁT</t>
  </si>
  <si>
    <t>Khang Minh Phát</t>
  </si>
  <si>
    <t>thiet-ke-chua-co-ten-3511.png</t>
  </si>
  <si>
    <t>16 Đường số 3, Phường Bình Hưng Hòa, TP. HCM</t>
  </si>
  <si>
    <t>https://maps.app.goo.gl/DCYFBecSh5UxAuBz6</t>
  </si>
  <si>
    <t>148 Nguyễn Thị Minh Khai, Phường Dĩ An, TP. HCM</t>
  </si>
  <si>
    <t>0339000222</t>
  </si>
  <si>
    <t>khangminhphatplastic@gmail.com</t>
  </si>
  <si>
    <t>https://khangminhphatplastic.com</t>
  </si>
  <si>
    <t>Sản xuất Xô nhựa Sơn &amp; Hóa chất</t>
  </si>
  <si>
    <t>In trong khuôn (IML) tự động</t>
  </si>
  <si>
    <t>In chuyển nhiệt bao bì nhựa</t>
  </si>
  <si>
    <t>Gia công khuôn mẫu ép &amp; thổi</t>
  </si>
  <si>
    <t>Sản xuất bao bì dầu nhờn cao cấp</t>
  </si>
  <si>
    <t>Thiết kế tem nhãn &amp; In ấn phức hợp</t>
  </si>
  <si>
    <t>Cung ứng hạt nhựa PP nguyên sinh</t>
  </si>
  <si>
    <t>Khắc laser thương hiệu lên nắp xô</t>
  </si>
  <si>
    <t>NÂNG TẦM THƯƠNG HIỆU QUA BAO BÌ ĐẲNG CẤP</t>
  </si>
  <si>
    <t>Công ty TNHH TM DV SX Khang Minh Phát là đơn vị chuyên gia hàng đầu trong lĩnh vực sản xuất và cung ứng các giải pháp bao bì nhựa công nghiệp chất lượng cao, phục vụ trọng tâm cho các ngành dầu nhớt, sơn, phân bón và hóa chất. Với hệ thống nhà máy hiện đại, chúng tôi tiên phong ứng dụng công nghệ Robot tự động trong việc dán tem nhãn IML (In trong khuôn), màng in chuyển nhiệt và in lụa sắc nét. Khang Minh Phát cam kết sử dụng 100% nhựa PP nguyên sinh, mang đến các dòng sản phẩm xô nhựa từ 1L đến 25L có độ bền chắc, cứng cáp, chịu lực và chịu nhiệt tối ưu. Không chỉ dừng lại ở việc cung cấp vỏ thùng, chúng tôi còn mang đến giải pháp nhận diện thương hiệu đẳng cấp thông qua dịch vụ khắc laser logo tùy chỉnh trên nắp sản phẩm, thiết kế bao bì tem nhãn độc quyền và hệ thống kiểm tra rò rỉ tự động, giúp nâng cao thẩm mỹ và giá trị cạnh tranh cho sản phẩm của khách hàng trên thị trường trong và ngoài nước.
Hệ sinh thái sản phẩm và dịch vụ thế mạnh:
Sản phẩm chủ lực: Xô nhựa 20L - 18L nắp vòi (dầu nhờn); xô 20L - 17L - 15L - 5L - 1L (sơn, phân bón, hóa chất); chai thổi 0.8L - 1L; nắp rót chai nhớt và nút rót lon thiếc.
Công nghệ in ấn: Tem in trong khuôn (IML), màng in chuyển nhiệt chất lượng cao, Robot dán nhãn tự động đảm bảo độ chuẩn xác và đồng nhất.
Dịch vụ kỹ thuật: Gia công khuôn nhựa ép và thổi theo yêu cầu; khắc laser logo thương hiệu; sản xuất bao bì thành phẩm cho các thương hiệu riêng.
Tên đơn vị: Công ty TNHH Thương mại Dịch vụ Sản xuất Khang Minh Phát
Văn phòng: Số 16 Đường số 3, Phường Bình Hưng Hòa, Thành phố Hồ Chí Minh.
Nhà máy sản xuất: Số 148 Nguyễn Thị Minh Khai, Phường Tân Đông Hiệp, Thành phố Hồ Chí Minh.
Hotline hỗ trợ: 0339 000 222 (Mr. Sáng) - 090 888 6638 (Mr. Phán)
Email: khangminhphatplastic@gmail.com
Website: khangminhphatplastic.com</t>
  </si>
  <si>
    <t>thiet-ke-chua-co-ten-3511_w256.webp</t>
  </si>
  <si>
    <t>3aed040b-ff18-4296-babe-d40565b926aa.jpg</t>
  </si>
  <si>
    <t>A077</t>
  </si>
  <si>
    <t>Nguyễn Hữu Cứ</t>
  </si>
  <si>
    <t>6d2d5624-3fae-43ff-b989-c961bd340dbe_w256.webp</t>
  </si>
  <si>
    <t>CÔNG TY TNHH THƯƠNG MẠI VÀ DỊCH VỤ VĂN HÓA HƯƠNG TRANG</t>
  </si>
  <si>
    <t>Hương Trang Books</t>
  </si>
  <si>
    <t>0302102008</t>
  </si>
  <si>
    <t>91QRXCO5J4L_W1024.webp</t>
  </si>
  <si>
    <t>416 Nguyễn Thị Minh Khai, Phường Bàn Cờ, TP.HCM</t>
  </si>
  <si>
    <t>https://huongtrangbooks.com</t>
  </si>
  <si>
    <t>Xuất bản Sách Phật học &amp; Kinh điển</t>
  </si>
  <si>
    <t>Ấn hành Sách Hán Nôm &amp; Từ điển</t>
  </si>
  <si>
    <t>Y học Cổ truyền &amp; Thực dưỡng</t>
  </si>
  <si>
    <t>Sách Kỹ năng sống &amp; Tâm hồn</t>
  </si>
  <si>
    <t>Thiết kế &amp; In ấn Lịch độc quyền</t>
  </si>
  <si>
    <t>Liên kết Xuất bản &amp; Tác quyền</t>
  </si>
  <si>
    <t>In ấn Bao bì &amp; Ấn phẩm quảng cáo</t>
  </si>
  <si>
    <t>Thư viện lưu trữ &amp; Số hóa sách</t>
  </si>
  <si>
    <t>LAN TỎA TRI THỨC, ƯƠM MẦM NHÂN VĂN</t>
  </si>
  <si>
    <t>1. GIỚI THIỆU TỔNG QUAN &amp; LIÊN HỆ
Công ty Văn hóa Hương Trang (Huong Trang Books) là đơn vị có bề dày 25 năm hoạt động chuyên sâu trong ngành kinh doanh văn hóa, gắn liền với hệ thống nhà sách Quang Bình và biểu tượng chữ Nhân (人) đặt giữa hoa mai vàng. Với tôn chỉ "Lợi nhuận đi đôi với uy tín", Hương Trang khẳng định vị thế riêng biệt bằng việc khai thác các dòng sách chuyên sâu như Phật học, Kinh điển, Hán Nôm và Đông y – những mảng sách đòi hỏi trình độ thẩm định và bản thảo khắt khe nhất. Chúng tôi vận hành mô hình khép kín hoàn toàn từ khai thác bản thảo, thiết kế mẫu mã đến in ấn hiện đại và phân phối trực tiếp qua mạng lưới đại lý rộng khắp trong nước và quốc tế (Hoa Kỳ, Pháp, Úc, Canada...). Hương Trang không chỉ là điểm đến của người yêu sách mà còn là địa chỉ tin cậy của các học giả, dịch giả với cam kết bảo vệ tác quyền và phương châm phục vụ "Bán giá sỉ cho người mua lẻ", mang tri thức đến mọi tầng lớp xã hội.
Hệ sinh thái hoạt động và năng lực cốt lõi:
Tủ sách chuyên đề đồ sộ: Hệ thống lưu trữ hơn 2.000 đầu sách, nổi bật với các mảng Phật học &amp; Kinh điển (Bộ Kinh Đại Bát Niết Bàn), Hán Nôm &amp; Từ điển tra cứu, Y học cổ truyền (Đông y, Dưỡng sinh, Thực dưỡng) và Tủ sách Rộng mở tâm hồn.
Sản xuất Lịch chuyên nghiệp: Thiết kế mẫu độc quyền và tổ chức in ấn trọn gói các loại lịch tờ, lịch block với phong cách nghệ thuật đặc trưng, sắc nét.
Dịch vụ Ấn loát &amp; Xuất bản: Liên kết xuất bản và thực hiện tất cả các sản phẩm in trên giấy như bao bì, tạp chí, ấn phẩm quảng cáo thông qua dây chuyền máy móc hiện đại và đội ngũ kỹ thuật viên giàu kinh nghiệm.
Tên đơn vị: Công ty Văn hóa Hương Trang (Huong Trang Books)
Địa chỉ trụ sở: Số 416 Đường Nguyễn Thị Minh Khai, Phường Bàn Cờ, Thành phố Hồ Chí Minh.
Hotline hỗ trợ: 028 3832 2386 (Thứ 2 - Thứ 7 | 08:00 - 18:30)
Email: kinhdoanh@huongtrang.net
Website: huongtrangbooks.com
2. TRIẾT LÝ &amp; TÔN CHỈ HOẠT ĐỘNG
Biểu tượng Chữ Nhân (人): Đề cao giá trị con người, hướng tới mục đích hoàn thiện nhân cách thông qua các sản phẩm văn hóa.
Tôn chỉ kinh doanh: Lợi ích vật chất phải song hành cùng lợi ích tinh thần. Kiên quyết không chạy theo các sản phẩm kém chất lượng, đảm bảo mỗi cuốn sách đều mang lại giá trị thực sự cho người đọc.
Mô hình khép kín: Tự chủ từ sản xuất đến phân phối giúp rút ngắn thời gian, hạ giá thành tối đa và kiểm soát chất lượng "Làm đúng ngay từ đầu".
Trách nhiệm cộng đồng: Thực hiện tinh thần "Công ty là nhà, nhân viên là chủ" và tích cực đóng góp vào các hoạt động thiện nguyện, xây dựng thư viện, hỗ trợ giáo dục vùng khó khăn.</t>
  </si>
  <si>
    <t>6d2d5624-3fae-43ff-b989-c961bd340dbe.jpg</t>
  </si>
  <si>
    <t>Nguyễn Thùy Trang</t>
  </si>
  <si>
    <t>oSs3P_w256.webp</t>
  </si>
  <si>
    <t>CÔNG TY TNHH SẢN XUẤT THƯƠNG MẠI DỊCH VỤ ECOSUS</t>
  </si>
  <si>
    <t>ECOSUS</t>
  </si>
  <si>
    <t>0318757930</t>
  </si>
  <si>
    <t>e306baf5-29cf-4fb5-841a-72cd1d131b66.jpg</t>
  </si>
  <si>
    <t>H20, Khu nhà ở Thới An, Đường Lê Thị Riêng, KP5, Phường Thới An, TP. HCM</t>
  </si>
  <si>
    <t>0938656786</t>
  </si>
  <si>
    <r>
      <rPr>
        <u/>
        <sz val="10"/>
        <rFont val="Arial"/>
      </rPr>
      <t>nttrang.bidrico@gmail.com</t>
    </r>
  </si>
  <si>
    <t>https://fb.com/share/1895GtTqFP</t>
  </si>
  <si>
    <t>Cung cấp suất ăn công nghiệp</t>
  </si>
  <si>
    <t>Bán buôn, bán lẻ thực phẩm, rau củ quả</t>
  </si>
  <si>
    <t>Bán buôn, bán lẻ cà phê, chè</t>
  </si>
  <si>
    <t>Bán buôn, bán lẻ các loại sản phẩm sữa</t>
  </si>
  <si>
    <t>e306baf5-29cf-4fb5-841a-72cd1d131b66_w256.webp</t>
  </si>
  <si>
    <t>oSs3P.jpg</t>
  </si>
  <si>
    <t>Hoàng Kim Nhật</t>
  </si>
  <si>
    <t>A075_HOÀNG KIM NHẬT_w256.webp</t>
  </si>
  <si>
    <t>CÔNG TY CỔ PHẦN ĐẦU TƯ XÂY DỰNG ASIA SOLAR GROUP</t>
  </si>
  <si>
    <t>ASIA SOLAR GROUP</t>
  </si>
  <si>
    <t>0314430941</t>
  </si>
  <si>
    <t>82 Đường 10, Khu nhà ở Vạn Phúc 1, Phường Hiệp Bình, TP. Hồ Chí Minh</t>
  </si>
  <si>
    <t>0938048030</t>
  </si>
  <si>
    <t>asg@asiasolargroup.vn</t>
  </si>
  <si>
    <t>84938048030</t>
  </si>
  <si>
    <t>https://www.asiasolargroup.vn</t>
  </si>
  <si>
    <t>Đầu tư Điện mặt trời áp mái</t>
  </si>
  <si>
    <t>Phát triển Điện gió gần bờ</t>
  </si>
  <si>
    <t>Giải pháp Lưu trữ điện BESS</t>
  </si>
  <si>
    <t>Tư vấn Khu công nghiệp xanh</t>
  </si>
  <si>
    <t>Thiết kế &amp; Pháp lý dự án</t>
  </si>
  <si>
    <t>Thi công &amp; Lắp đặt NLMT</t>
  </si>
  <si>
    <t>Vận hành &amp; Bảo trì (O&amp;M)</t>
  </si>
  <si>
    <t>Hạ tầng Trạm sạc xe điện</t>
  </si>
  <si>
    <t>CHẤT LƯỢNG - KỸ THUẬT - MỸ THUẬT - TIẾN ĐỘ</t>
  </si>
  <si>
    <r>
      <rPr>
        <sz val="10"/>
        <rFont val="Arial"/>
      </rPr>
      <t xml:space="preserve">Công ty TNHH Đầu tư và Xây dựng Asia Solar Group (ASG) là nhà cung cấp hàng đầu các giải pháp năng lượng tái tạo tại Việt Nam. Khởi đầu từ năm 2020, ASG đã phát triển mạnh mẽ thành một tập đoàn năng lượng với vốn điều lệ 20 tỷ đồng, chuyên môn hóa trong việc tư vấn và triển khai hạ tầng năng lượng xanh cho các doanh nghiệp FDI và Khu công nghiệp. Chúng tôi tự hào vận hành khai thác hơn 10MWp điện mặt trời áp mái và là đối tác chiến lược của các quỹ đầu tư từ Singapore, Nhật Bản. Với sứ mệnh lấy "Chất lượng - Kỹ thuật - Mỹ thuật - Tiến độ" làm thước đo, ASG cung cấp các giải pháp tối ưu về hệ thống lưu trữ điện năng (BESS), trạm sạc xe điện và điện gió gần bờ, đồng hành cùng Chính phủ hướng tới mục tiêu Net Zero vào năm 2050.
Sản phẩm và Dịch vụ cốt lõi:
Đầu tư &amp; Phát triển: Dự án điện mặt trời áp mái nhà máy, trang trại, khu công nghiệp và điện gió.
Giải pháp công nghệ: Tư vấn Khu công nghiệp xanh, lắp đặt hệ thống lưu trữ BESS và hạ tầng trạm sạc.
Kỹ thuật &amp; Vận hành: Tư vấn hồ sơ pháp lý, thi công lắp đặt, vận hành và bảo trì (O&amp;M) chuyên nghiệp.
Đơn vị: Công ty TNHH Đầu tư và Xây dựng Asia Solar Group (ASG)
Địa chỉ: Số 82 Đường 10, Vạn Phúc 1, Phường Hiệp Bình, Thành phố Thủ Đức.
Hotline: 0938 048 030
Email: asg@asiasolargroup.vn
Website: </t>
    </r>
    <r>
      <rPr>
        <u/>
        <sz val="10"/>
        <rFont val="Arial"/>
      </rPr>
      <t>asiasolargroup.vn</t>
    </r>
  </si>
  <si>
    <t>A075_HOÀNG KIM NHẬT.png</t>
  </si>
  <si>
    <t>A080</t>
  </si>
  <si>
    <t>Trần Trung Kiên</t>
  </si>
  <si>
    <t>b19d9e1c-b666-48c4-9309-ad286ec1dbd2s_w256.webp</t>
  </si>
  <si>
    <t>Phó Phòng KHDN</t>
  </si>
  <si>
    <t>Ngân hàng TMCP Công Thương Việt Nam - CN TP. Hồ Chí Minh</t>
  </si>
  <si>
    <t>VietinBank</t>
  </si>
  <si>
    <t>028-Logo-NganHang-Vietinbank.jpg</t>
  </si>
  <si>
    <t>79A Hàm Nghi, Phường Sài Gòn, TP.Hồ Chí Minh</t>
  </si>
  <si>
    <t>0905549357</t>
  </si>
  <si>
    <t>kientt1@vietinbank.vn</t>
  </si>
  <si>
    <t>84905549357</t>
  </si>
  <si>
    <t>https://www.vietinbank.vn</t>
  </si>
  <si>
    <t>https://fb.com/share/1KrkMyDk5F</t>
  </si>
  <si>
    <t>https://www.tiktok.com/@vtb.cn.tp.hcm.sme</t>
  </si>
  <si>
    <t>Cho vay - Huy động vốn</t>
  </si>
  <si>
    <t>Bảo lãnh thanh toán, LC</t>
  </si>
  <si>
    <t>CĐS: TT không tiền mặt, kết nối ERP</t>
  </si>
  <si>
    <t>Sản phẩm phái sinh</t>
  </si>
  <si>
    <t>Thu xếp vốn</t>
  </si>
  <si>
    <t>NÂNG GIÁ TRỊ CUỘC SỐNG</t>
  </si>
  <si>
    <t>kientranvietinbank@gmail.com</t>
  </si>
  <si>
    <t>028-Logo-NganHang-Vietinbank_w256.webp</t>
  </si>
  <si>
    <t>b19d9e1c-b666-48c4-9309-ad286ec1dbd2s.jpg</t>
  </si>
  <si>
    <t>A081</t>
  </si>
  <si>
    <t>Lê Thanh Hiền</t>
  </si>
  <si>
    <t>Gemini_Generated_Image_ukb7vmukb7vmukb7_W1024.webp</t>
  </si>
  <si>
    <t>CÔNG TY TNHH TMDV QUÀ TẶNG HELI GIFT</t>
  </si>
  <si>
    <t>HELI GITF</t>
  </si>
  <si>
    <t>0319290776</t>
  </si>
  <si>
    <t>logo-j8D-_nW5.jpg</t>
  </si>
  <si>
    <t>Tầng trệt, Số 55 Hiệp Nhất, Phường Tân Sơn Nhất, TP Hồ Chí Minh</t>
  </si>
  <si>
    <t>0779999151</t>
  </si>
  <si>
    <t>heligift68@gmail.com</t>
  </si>
  <si>
    <t>84779999151</t>
  </si>
  <si>
    <t>https://heligift.com</t>
  </si>
  <si>
    <t>Quà tặng Doanh nghiệp</t>
  </si>
  <si>
    <t>Cúp vinh danh &amp; Giải thưởng</t>
  </si>
  <si>
    <t>Bình giữ nhiệt &amp; Ly sứ</t>
  </si>
  <si>
    <t>Túi Canvas &amp; Quà tặng xanh</t>
  </si>
  <si>
    <t>Thiết kế &amp; In ấn Logo</t>
  </si>
  <si>
    <t>Sản xuất Đồng phục &amp; Gấu bông</t>
  </si>
  <si>
    <t>In ấn Tờ rơi &amp; Catalogue</t>
  </si>
  <si>
    <t>Quà tặng VIP &amp; Sự kiện</t>
  </si>
  <si>
    <t>TRAO GIÁ TRỊ – GIỮ NIỀM TIN – KẾT NỐI BỀN CHẶT</t>
  </si>
  <si>
    <r>
      <rPr>
        <sz val="10"/>
        <rFont val="Arial"/>
      </rPr>
      <t xml:space="preserve">HeLi Gift là đơn vị chuyên cung cấp giải pháp Quà tặng doanh nghiệp và dịch vụ thiết kế, in ấn chuyên nghiệp. Với triết lý "Kể câu chuyện thương hiệu bằng chất liệu, màu sắc và cảm xúc", HeLi Gift tập trung kiến tạo những sản phẩm quà tặng tinh tế, đóng vai trò là cầu nối thương hiệu bền vững giữa doanh nghiệp với khách hàng và đối tác. Chúng tôi sở hữu năng lực sản xuất đa dạng, từ các bộ quà tặng cao cấp dành cho khách hàng VIP, cúp vinh danh sự kiện, đến các vật phẩm nhận diện thiết yếu như bình giữ nhiệt, túi canvas, áo mưa và mũ bảo hiểm in logo. Với quy trình vận hành khép kín từ khâu lên ý tưởng, thiết kế mẫu miễn phí đến giao hàng nhanh toàn quốc, HeLi Gift cam kết mang đến những sản phẩm chỉn chu, tối ưu theo từng mức ngân sách và mục tiêu truyền thông của khách hàng.
Sản phẩm và Dịch vụ cốt lõi:
Quà tặng doanh nghiệp: Set quà tặng phối hợp (sổ bút, bình giữ nhiệt), quà tặng sự kiện, quà tặng nội bộ và tri ân khách hàng.
Vật phẩm nhận diện: Mũ bảo hiểm, áo mưa, dù cầm tay, ly sứ in logo thương hiệu theo yêu cầu.
Cúp vinh danh &amp; Khen thưởng: Cúp thể thao (Pickleball), kỷ niệm chương, giải thưởng vinh danh nhân viên và lễ kỷ niệm.
Thiết kế &amp; In ấn: Sản xuất tờ rơi, Catalogue, in ấn logo chất lượng cao trên mọi chất liệu và may mặc đồng phục doanh nghiệp.
Tên đơn vị: HeLi Gift – Giải Pháp Quà Tặng Doanh Nghiệp
Địa chỉ: Số 55 Hiệp Nhất, Phường Tân Bình, Thành phố Hồ Chí Minh.
Hotline/Zalo: 077 999 9151
Email: heligift@gmail.com
Website: </t>
    </r>
    <r>
      <rPr>
        <u/>
        <sz val="10"/>
        <rFont val="Arial"/>
      </rPr>
      <t>heligift.com</t>
    </r>
  </si>
  <si>
    <t>logo-j8D-_nW5_w256.webp</t>
  </si>
  <si>
    <t>A082</t>
  </si>
  <si>
    <t>Hoàng Quốc Việt</t>
  </si>
  <si>
    <t>DKW9C_w256.webp</t>
  </si>
  <si>
    <t>Điều hành</t>
  </si>
  <si>
    <t>CÔNG TY CP NHÔM KÍNH VÀ ĐẦU TƯ TRƯỜNG GIANG</t>
  </si>
  <si>
    <t>Nhôm kính Trường Giang</t>
  </si>
  <si>
    <t>0312251859</t>
  </si>
  <si>
    <t>main-logo.png</t>
  </si>
  <si>
    <t>Số 99 Đường số 33, Phường Tân Hưng, Thành phố Hồ Chí Minh</t>
  </si>
  <si>
    <t>0971010101</t>
  </si>
  <si>
    <t>info@truonggiangcorp.vn</t>
  </si>
  <si>
    <t>https://truonggiangcorp.vn</t>
  </si>
  <si>
    <t>Thi công Mặt dựng Cao ốc</t>
  </si>
  <si>
    <t>Cửa nhôm kính cao cấp</t>
  </si>
  <si>
    <t>Vách kính cường lực</t>
  </si>
  <si>
    <t>Mái kính Canopy &amp; Giếng trời</t>
  </si>
  <si>
    <t>Thiết kế Kiến trúc Nhôm kính</t>
  </si>
  <si>
    <t>Hệ thống Louver thông gió</t>
  </si>
  <si>
    <t>Lắp dựng Nhôm kính Công nghiệp</t>
  </si>
  <si>
    <t>Tư vấn &amp; Quản lý dự án</t>
  </si>
  <si>
    <r>
      <rPr>
        <sz val="10"/>
        <rFont val="Arial"/>
      </rPr>
      <t xml:space="preserve">Công ty CP Nhôm kính và Đầu tư Trường Giang (Trường Giang Corp) là đơn vị uy tín với gần 10 năm kinh nghiệm chuyên sâu trong lĩnh vực thiết kế, thi công và lắp dựng hệ thống nhôm kính kiến trúc. Với thế mạnh vượt trội về kỹ thuật công trình, Trường Giang sở hữu đội ngũ nhân sự chất lượng cao với hơn 50% kiến trúc sư, kỹ sư dày dạn kinh nghiệm trên 10 năm và 35% nhân viên trình độ đại học trở lên. Chúng tôi vận hành theo triết lý "Con người là yếu tố quyết định thành công", không ngừng nâng cao năng lực dân sự và tư duy hệ thống để mang lại hiệu quả công việc tốt nhất. Với mục tiêu trở thành công ty đi đầu trong lĩnh vực nhôm kính, Trường Giang cam kết bảo đảm chất lượng tuyệt đối từ khâu thiết kế đến thực thi tại các công trình khách sạn, nhà máy và văn phòng cao tầng, đóng góp vào sự thịnh vượng chung của quốc gia.
Sản phẩm và Dịch vụ cốt lõi:
Mặt dựng &amp; Vách kính: Chuyên thi công mặt dựng cao ốc, vách kính cố định, hệ thống mái kính Canopy và mái kính giếng trời lấy sáng.
Hệ thống Cửa cao cấp: Cung cấp các loại cửa đi, cửa sổ mở quay, mở trượt, cửa Pano nhôm với độ chính xác và tính thẩm mỹ cao.
Giải pháp thông gió: Lắp đặt Louver thông gió chuyên dụng cho các công trình công nghiệp và dân dụng.
Nguyên tắc trải nghiệm: Đảm bảo an toàn trên hết, chất lượng cao, chi phí hợp lý và cam kết bảo vệ môi trường trong suốt quá trình triển khai dự án.
Tên đơn vị: Công ty CP Nhôm kính và Đầu tư Trường Giang (Trường Giang Corp)
Địa chỉ: Số 99 Đường số 33, Phường Tân Hưng, Thành phố Hồ Chí Minh.
Hotline: 0971 01 01 01
Email: info@truonggiangcorp.vn
Website: </t>
    </r>
    <r>
      <rPr>
        <u/>
        <sz val="10"/>
        <rFont val="Arial"/>
      </rPr>
      <t>truonggiangcorp.vn</t>
    </r>
  </si>
  <si>
    <t>main-logo_w256.webp</t>
  </si>
  <si>
    <t>DKW9C.jpg</t>
  </si>
  <si>
    <t>A083</t>
  </si>
  <si>
    <t>Nguyễn Gia Hồng</t>
  </si>
  <si>
    <t>3d574f9d-1fb9-42e4-8ee2-a9ac45d02fc9_w256.webp</t>
  </si>
  <si>
    <t>NGÂN HÀNG HDBANK - CHI NHÁNH SGD ĐỒNG NAI</t>
  </si>
  <si>
    <t>HDBank SGD Đồng Nai</t>
  </si>
  <si>
    <t>Thumbnail-Youtube-Startup-wheel-2.jpg</t>
  </si>
  <si>
    <t>0984400752</t>
  </si>
  <si>
    <t>hongng@hdbank.com.vn</t>
  </si>
  <si>
    <t>https://hdbank.com.vn</t>
  </si>
  <si>
    <t>Huy động vốn tiết kiệm</t>
  </si>
  <si>
    <t>Tín dụng Doanh nghiệp</t>
  </si>
  <si>
    <t>Cho vay Cá nhân</t>
  </si>
  <si>
    <t>Thanh toán Quốc tế</t>
  </si>
  <si>
    <t>Dịch vụ Ngân hàng số</t>
  </si>
  <si>
    <t>Bảo lãnh &amp; Cam kết tài chính</t>
  </si>
  <si>
    <t>Dịch vụ Thẻ &amp; ATM</t>
  </si>
  <si>
    <t>Tư vấn Đầu tư &amp; Bảo hiểm</t>
  </si>
  <si>
    <t>CAM KẾT LỢI ÍCH CAO NHẤT</t>
  </si>
  <si>
    <t>GIỚI THIỆU TỔNG QUAN &amp; LIÊN HỆ
Ngân hàng TMCP Phát triển Thành phố Hồ Chí Minh – Chi nhánh Sở giao dịch Đồng Nai (HDBank Đồng Nai) là một trong những mắt xích chiến lược trong hệ thống mạng lưới của HDBank tại khu vực kinh tế trọng điểm phía Nam. Với bề dày hoạt động và tiềm lực tài chính vững mạnh, chi nhánh chuyên cung cấp các giải pháp tài chính toàn diện cho cả khách hàng cá nhân và doanh nghiệp, bao gồm: huy động vốn, cấp tín dụng, dịch vụ thanh toán quốc tế và các sản phẩm ngân hàng số hiện đại. HDBank Đồng Nai luôn tiên phong trong việc hỗ trợ vốn cho các doanh nghiệp tại các khu công nghiệp trên địa bàn, đồng thời chú trọng nâng cao trải nghiệm khách hàng thông qua quy trình xử lý hồ sơ nhanh chóng, chuyên nghiệp và các gói ưu đãi lãi suất cạnh tranh, góp phần thúc đẩy sự phát triển kinh tế bền vững của tỉnh Đồng Nai.
Sản phẩm và Dịch vụ cốt lõi:
Dịch vụ Tài chính Doanh nghiệp: Tài trợ vốn lưu động, cho vay đầu tư tài sản cố định, bảo lãnh ngân hàng và thanh toán quốc tế (L/C).
Giải pháp Tài chính Cá nhân: Cho vay mua nhà, vay mua ô tô, vay tiêu dùng tín chấp và phát hành các dòng thẻ tín dụng cao cấp.
Ngân hàng số &amp; Quản lý dòng tiền: Dịch vụ eBanking hiện đại, chuyển tiền nhanh, thanh toán hóa đơn tự động và quản lý tài khoản chuyên sâu.
Tiết kiệm &amp; Đầu tư: Đa dạng các hình thức gửi tiết kiệm lãi suất bậc thang, chứng chỉ tiền gửi và tư vấn giải pháp bảo hiểm liên kết đầu tư (Bancassurance).
Tên đơn vị: Ngân hàng TMCP Phát triển Thành phố Hồ Chí Minh – Chi nhánh Sở giao dịch Đồng Nai
Địa chỉ: Số 56-58 Cách Mạng Tháng 8, Phường Quang Vinh, Thành phố Biên Hòa.
Hotline: 1900 6060
Email: info@hdbank.com.vn
Website: hdbank.com.vn</t>
  </si>
  <si>
    <t>Thumbnail-Youtube-Startup-wheel-2_w256.webp</t>
  </si>
  <si>
    <t>3d574f9d-1fb9-42e4-8ee2-a9ac45d02fc9.jpg</t>
  </si>
  <si>
    <t>A084</t>
  </si>
  <si>
    <t>Trương Trung</t>
  </si>
  <si>
    <t>8a6c580f-fec2-4998-b779-e4b5a05773dc_w256.webp</t>
  </si>
  <si>
    <t>Chủ tịch và CEO đồng sáng lập</t>
  </si>
  <si>
    <t>Sago Capital</t>
  </si>
  <si>
    <t>0318881173</t>
  </si>
  <si>
    <t>97ddbdf1fc6f72312b7e.jpg</t>
  </si>
  <si>
    <t>100/109D Thích Quảng Đức, Phường Đức Nhuận, TP. Hồ Chí Minh</t>
  </si>
  <si>
    <t>0902619356</t>
  </si>
  <si>
    <t>Info@sagocapitaltech.com</t>
  </si>
  <si>
    <t>sagocapitaltech.com</t>
  </si>
  <si>
    <t>Cung cấp Bơm PCCC</t>
  </si>
  <si>
    <t>Bơm Chống ngập &amp; Chiller</t>
  </si>
  <si>
    <t>Cửa cuốn &amp; Màn ngăn cháy</t>
  </si>
  <si>
    <t>Vách kính chống cháy</t>
  </si>
  <si>
    <t>Thi công Sơn chống cháy</t>
  </si>
  <si>
    <t>Vách thạch cao ngăn cháy</t>
  </si>
  <si>
    <t>Thiết kế &amp; Thẩm duyệt PCCC</t>
  </si>
  <si>
    <t>Thi công hệ thống PCCC</t>
  </si>
  <si>
    <t>AN TOÀN - UY TÍN - HỢP TÁC BỀN VỮNG</t>
  </si>
  <si>
    <t>Công ty TNHH Kỹ thuật Sago Capital được thành lập từ tháng 02 năm 2019 , định hướng trở thành nhà cung cấp giải pháp PCCC hàng đầu tại Việt Nam và khu vực Đông Nam Á. Với giá trị cốt lõi "Uy tín – Chất lượng – Chuyên nghiệp", Sago Capital cam kết mang đến những giải pháp tối ưu, bảo vệ con người và tài sản với độ an toàn cao nhất. Tính đến tháng 09/2025, công ty đã hoàn thành và quyết toán trên 80 dự án dân dụng, chung cư, trung tâm thương mại và khu công nghiệp trên toàn quốc.Sản phẩm và Dịch vụ cốt lõi:Cung cấp máy bơm PCCC (đạt chuẩn NFPA20, UL/FM, QC02/2020/BCA), bao gồm bơm điện, bơm bù áp và bơm Diesel.Hệ thống bơm thoát nước chống ngập, bơm giải nhiệt/Chiller đạt tiêu chuẩn Châu Âu (DIN/EN/JIS/BS).Cung cấp và thi công màn xếp, cửa cuốn, cửa đi và vách kính ngăn cháy (đạt chuẩn E/EI160, E190).Thi công sơn chống cháy kết cấu thép (R45-180) và vách thạch cao ngăn cháy (REI 120-150).Dịch vụ trọn gói: Thiết kế - Thẩm duyệt – Thi công hệ thống PCCC.Tên đơn vị: Công ty TNHH Kỹ thuật Sago Capital.Trụ sở chính: Số 100/109D Thích Quảng Đức, Phường Đức Nhuận, Thành phố Hồ Chí Minh.
Văn phòng đại diện: Số 48B Phan Văn Trị, Phường Hạnh Thông, Thành phố Hồ Chí Minh.Hotline: 0902.619.356 / 0918.19.19.15.Email: Info@sagocapitaltech.com.</t>
  </si>
  <si>
    <t>97ddbdf1fc6f72312b7e_w256.webp</t>
  </si>
  <si>
    <t>8a6c580f-fec2-4998-b779-e4b5a05773dc.jpg</t>
  </si>
  <si>
    <t>A085</t>
  </si>
  <si>
    <t>Nguyễn Văn Chuyên</t>
  </si>
  <si>
    <t>7ed3fd50-f3cb-4daf-be73-837bb166545c_w256.webp</t>
  </si>
  <si>
    <t>Đồng sáng lập &amp; Quản lý kinh doanh</t>
  </si>
  <si>
    <t>CÔNG TY CỔ PHẦN KỸ THUẬT MÔI TRƯỜNG THIÊN NGUYÊN</t>
  </si>
  <si>
    <t>Môi trường Thiên Nguyên</t>
  </si>
  <si>
    <t>0317880811</t>
  </si>
  <si>
    <t>202 Kha Vạn Cân, Khu phố 4, Phường Hiệp Bình, TP Hồ Chí Minh</t>
  </si>
  <si>
    <t>0898818369</t>
  </si>
  <si>
    <t>chris@tenet.vn</t>
  </si>
  <si>
    <t>84898818369</t>
  </si>
  <si>
    <t>https://www.tenet.vn</t>
  </si>
  <si>
    <t>Xử lý Nước cấp &amp; Nước thải</t>
  </si>
  <si>
    <t>Thi công Xử lý Khí thải</t>
  </si>
  <si>
    <t>Giải pháp Quản lý Môi trường</t>
  </si>
  <si>
    <t>Tư vấn Luật Môi trường</t>
  </si>
  <si>
    <t>Thi công Xây dựng Công trình</t>
  </si>
  <si>
    <t>Hệ thống Cơ điện &amp; Nhiệt lạnh</t>
  </si>
  <si>
    <t>Ứng dụng Hóa chất Công nghiệp</t>
  </si>
  <si>
    <t>GIẢI PHÁP MÔI TRƯỜNG HIỆU QUẢ, CHI PHÍ TỐI ƯU</t>
  </si>
  <si>
    <t>Việt Nam hiện đang bước vào thời kỳ phát triển mới, nền kinh tế tăng trưởng với tốc độ cao. Nhờ chính sách mở cửa, tạo điều kiện ngày càng thuận lợi cho Việt Nam thu hút vốn đầu tư nước ngoài. Nhiều khu công nghiệp, khu chế xuất, nhiều nhà máy, công trình đã và đang mọc lên trên mọi miền đất nước.
Trong hơn một thập kỷ qua, tốc độ tăng trưởng công nghiệp hàng năm từ 15 - 17% góp phần rất lớn vào tăng trưởng kinh tế của cả nước. Bên cạnh mặt tích cực, quá trình công nghiệp hóa cùng với sự bùng nổ các hoạt động thương mại, dịch vụ đã gây nên những tác động môi trường không nhỏ. Tình trạng ô nhiễm các môi trường ngày càng nghiêm trọng, nhất là ở khu công nghiệp, các địa bàn tập trung đông dân cư.
Ngày nay doanh nghiệp không còn coi vấn đề môi trường là ngoại vi, không quan trọng hay không cần thiết trong mọi họat động của mình nữa, mà bảo vệ môi trường trong doanh nghiệp có ảnh hưởng vào mục tiêu chủ yếu của doanh nghiệp, đó là mức lãi doanh thu tài chánh trong hạch toán các sản phẩm của doanh nghiệp.
Có trách nhiệm về môi trường không những làm hình ảnh và sản phẩm của công ty được người tiêu dùng đánh giá cao và thương hiệu có giá trị mà còn có thể giảm đi giá thành tiết kiệm được nhiên liệu, giảm giá hoạt động của công ty mình. Việc tham gia trực tiếp và tích cực của doanh nghiệp trong việc bảo vệ môi trường không chỉ có lợi cho sự bền vững lâu dài mà còn là nhu cầu cấp thiết trong việc kinh doanh:
Thứ nhất, nếu các doanh nghiệp muốn tiếp tục tăng cường đầu ra, họ phải có đầu vào ổn định. Nhiều ngành công nghiệp dựa trên các nguồn tài nguyên có chất lượng cao, nguồn tài nguyên bị thiệt hại sẽ làm tăng chi phí sản xuất.
Thứ hai, việc tiếp cận ban đầu và sự lựa chọn của người tiêu dùng. Thực tiễn về môi trường của các ngành công nghiệp và kinh doanh đang ngày càng trở thành một nhu cầu về sự thay đổi của người tiêu dùng ngày nay. Người tiêu dùng quốc tế nhấn mạnh đến bảo tồn tài nguyên thiên nhiên, giữ độ bền của sản phẩm và thỏa mãn các nhu cầu xã hội. Trong khi đó người tiêu dùng bản xứ ngày càng đòi hỏi các doanh nghiệp phải có trách nhiệm về môi trường.
Khi doanh nghiệp tham gia đầu tư vào bảo vệ môi trường sẽ góp phần tạo ra sự tin tưởng của xã hội và người tiêu dùng đối với chính doanh nghiệp, chính những sản phẩm của doanh nghiệp làm ra. Hình ảnh và thương hiệu của doanh nghiệp sẽ được nâng lên, thị trường tiêu thụ các sản phẩm sẽ bền vững hơn.
Trong xu thế hội nhập với nền kinh tế thế giới mang lại nhiều cơ hội nhưng cũng đặt ra không ít thách thức cho các doanh nghiệp. Đầu tư cho đổi mới công nghệ, sử dụng tài nguyên và năng lượng hiệu quả để tạo ưu thế cạnh tranh và góp phần bảo vệ môi trường là con đường phát triển tất yếu. Và Thiên Nguyên được thành lập để đồng hành cùng các doanh nghiệp trên còn đường ấy.
Công ty CP Xây Dựng Môi Trường Thiên Nguyên là đội ngũ kết hợp giữa các chuyên gia giàu kinh nghiệm cùng các kỹ sư đầy nhiệt huyết với nhiều chuyên môn: môi trường, xây dựng, năng lượng, hóa học, cơ điện, nhiệt lạnh... được thành lập với sứ mệnh mang đến cho các doanh nghiệp giải pháp xử lý nước cấp, nước thải, khí thải và quản lý môi trường đảm bảo hiệu quả và chi phí tối ưu.
Đồng sáng lập &amp; Quản lý kinh doanh
Nguyễn Văn Chuyên
CTCP KT Môi Trường Thiên Nguyên (TENET) ‣ 202 Kha Vạn Cân, KP 4, Hiệp Bình Chánh, TP. Thủ Đức, TP. HCM
Website: www.tenet.vn • www.chatthai.vn • www.nuocthai.vn • www.luatmoitruong.vn ‣ Email: chris@tenet.vn
Hotline₂₄₇: 0865.369.247 ‣ TP. Hồ Chí Minh: 0898.818.369 (Mr Chuyên)  ‣  Đà Nẵng: 0914.855.777 (Mr Nghĩa) 
Đắk Lắk: 0984.979.991 (Mr Vũ)  ‣  Cần Thơ: 0933.669.676 (Mr Tráng) ‣  Quảng Trị: 0973.926.094 (Mr. Luận)</t>
  </si>
  <si>
    <t>7ed3fd50-f3cb-4daf-be73-837bb166545c.jpg</t>
  </si>
  <si>
    <t>Nguyễn Thị Kim Huệ</t>
  </si>
  <si>
    <t>FjQpH_w256.webp</t>
  </si>
  <si>
    <t>CÔNG TY CỔ PHẦN THƯƠNG MẠI VÀ DỊCH VỤ KỸ THUẬT KHẢI PHÁT</t>
  </si>
  <si>
    <t>Khải Phát HVAC</t>
  </si>
  <si>
    <t>site-logo-1-105x70.png</t>
  </si>
  <si>
    <t>198/71 Đường Số 3, Phường Thông Tây Hội, TP. Hồ Chí Minh</t>
  </si>
  <si>
    <t>Tòa 18, Khu Nhà Số 10/12, Ngõ 12 Đường Khuất Duy Tiến, Phường Thanh Xuân, TP. Hà Nội</t>
  </si>
  <si>
    <t>0977682041</t>
  </si>
  <si>
    <t>hue.khaiphat.hvac@gmail.com</t>
  </si>
  <si>
    <t>84977682041</t>
  </si>
  <si>
    <t>https://khaiphat-hvac.com</t>
  </si>
  <si>
    <t>Phân phối Thiết bị HVAC</t>
  </si>
  <si>
    <t>Bảo ôn &amp; Cách nhiệt PE</t>
  </si>
  <si>
    <t>Lọc khí &amp; Phòng sạch FFU</t>
  </si>
  <si>
    <t>Hệ thống Chiller &amp; AHU</t>
  </si>
  <si>
    <t>Tháp giải nhiệt Nhật Bản</t>
  </si>
  <si>
    <t>Bồn nước lắp ghép GRP</t>
  </si>
  <si>
    <t>Miệng gió &amp; Van chặn lửa</t>
  </si>
  <si>
    <t>Giải pháp Heatpump &amp; Máy lạnh</t>
  </si>
  <si>
    <t>YOUR BEST PARTNER OF HVAC SOLUTION</t>
  </si>
  <si>
    <t>Giới thiệu
Khải Phát là công ty chuyên phân phối các sản phẩm nhập khẩu trong lĩnh vực Cơ – Điện (HVAC). Được thành lập trong giai đoạn phát triển mạnh mẽ của thị trường Xây Dựng. Khải Phát với đội ngũ lãnh đạo trẻ và chiến lược kinh doanh đúng đắn và đang nỗ lực không ngừng trong mọi hoạt động sản xuất, nhập khẩu để khẳng định và nâng cao vị thế của mình trong lĩnh vực cung ứng thiết bị cho các dự án trên lãnh thổ Việt Nam, tạo lập giá trị, giữ vững niềm tin trong tâm trí khách hàng và đối tác. Trên hành trình phát triển của mình, chúng tôi nhận thức rằng, để thành công và phát triển bền vững, bên cạnh định hướng chiến lược đúng đắn, thì việc trân trọng giá trị đạo đức kinh doanh, mang đến sản phẩm thực, giá trị thực, đảm bảo lợi ích tốt nhất cho khách hàng, đối tác và xã hội là triết lý kinh doanh đầy tính nhân văn mà công ty chúng tôi luôn hướng đến. Bảo ôn, cách nhiệt dòng PE FOAM thương hiệu Trocellen Nhật Bản, sản xuất Malaysia. Chính những nền tảng này đã giúp Khải Phát ngày càng khẳng định vững chắc chỗ đứng của mình và được biết tới là một trong các công ty cung ứng thiết bị trẻ tuổi có tốc độ phát triển nhanh chóng, mạnh mẽ, và đầy sáng tạo. Chúng tôi tin rằng với sự quyết tâm, nỗ lực không ngừng của Ban điều hành và toàn thể cán bộ – nhân viên, Khải Phát có đủ cơ sở để đạt được những mục tiêu chiến lược kinh doanh đã đề ra, phấn đấu là một đối tác đáng tin cậy nhất của bạn trong giải pháp HVAC, giống như câu Slogan của công ty đặt ra: “Your Best Partner Of Hvac Solution”. Corp. Thay mặt toàn thể cán bộ công nhân viên Công ty Cổ phần Khải Phát – HVAC, chân thành cám ơn sự tin yêu, kỳ vọng của quý khách hàng và đối tác. Kính chúc quý khách hàng và đối tác sức khỏe, hạnh phúc, thành công trọn vẹn!
Sản Phẩm Chính Của Chúng Tôi:
Bảo ôn, cách nhiệt dòng PE FOAM thương hiệu Trocellen Nhật Bản, sản xuất Malaysia.
Air Filter – Lưới lọc gió, thiết bị lọc khí, lọc dầu mỡ, thiết bị phòng sạch, phòng mổ, FFU… thương hiệu JAF-Japan Air Filter, sản xuất Malaysia.
Tháp giải nhiệt Nihon Spindle, thương hiệu Nhật Bản, sản xuất Malaysia
Bồn nước GRP, Inox 304, 316 lắp ghép, thương hiệu Potaglas, Huili nhập khẩu Malaysia &amp; China.
Miệng gió, van gió, van chặn lửa, VAV, CAV box, sản xuất ống gió các loại… thương hiệu ADF, nhập khẩu từ Malaysia hoặc sản xuất tại nhà máy ở Việt Nam.
Các loại AHU gas, AHU nước, FCU và thay thế các loại dàn coil AHU, Chiller… Thương hiệu UNIHEAT – Malaysia.
Chiller, AHU, PAU, FCU, Heatpump, Máy lạnh chính xác, máy nước nóng dùng điện gián tiếp cung cấp nước nóng cho khách sạn, hồ bơi,… thương hiệu Climaveneta thuộc Mitsubishi Electric Group.
Đối tác:
– COTECCONS, UNICONS, NEWTECONS, SOL, CENTRAL, REECORP, SEAREFICO, TECHGEL, SUN GROUP, VIN GROUP……..</t>
  </si>
  <si>
    <t>site-logo-1-105x70_w256.webp</t>
  </si>
  <si>
    <t>FjQpH.jpg</t>
  </si>
  <si>
    <t>A087</t>
  </si>
  <si>
    <t>Cao Duyên</t>
  </si>
  <si>
    <t>A085_CAO DUYÊN_w256.webp</t>
  </si>
  <si>
    <t>Đại lý</t>
  </si>
  <si>
    <t>CÔNG TY CỔ PHẦN FORGANIC</t>
  </si>
  <si>
    <t>FORGANIC</t>
  </si>
  <si>
    <t>0318431382</t>
  </si>
  <si>
    <t>cropped-Logo-forganic-green (1).png</t>
  </si>
  <si>
    <t>Số 38-40, Đường Phổ Quang, Phường Tân Sơn Hòa, TP Hồ Chí Minh</t>
  </si>
  <si>
    <t>0366276139</t>
  </si>
  <si>
    <t>caotamanh1@gmail.com</t>
  </si>
  <si>
    <t>84366276139</t>
  </si>
  <si>
    <t>https://forganic.vn</t>
  </si>
  <si>
    <t>Sữa hạt Đa dưỡng chất</t>
  </si>
  <si>
    <t>Sữa hạt Bữa ăn thay thế</t>
  </si>
  <si>
    <t>Dinh dưỡng thuần tự nhiên</t>
  </si>
  <si>
    <t>Tư vấn giải pháp Sống khỏe</t>
  </si>
  <si>
    <t>Phân phối Thực phẩm sạch</t>
  </si>
  <si>
    <t>Hợp tác Kinh doanh 0đ</t>
  </si>
  <si>
    <t>Quản lý Quỹ Cộng đồng</t>
  </si>
  <si>
    <t>Đào tạo Kiến thức Dinh dưỡng</t>
  </si>
  <si>
    <t>For you - For Living - Forever</t>
  </si>
  <si>
    <r>
      <rPr>
        <sz val="10"/>
        <rFont val="Arial"/>
      </rPr>
      <t xml:space="preserve">Công ty Cổ phần Forganic là biểu tượng dinh dưỡng thuần tự nhiên, được thành lập với sứ mệnh mang lại trải nghiệm sống khỏe mạnh và bền vững cho cộng đồng. Trong bối cảnh thực phẩm bẩn và lối sống thiếu lành mạnh đang lan rộng, Forganic ra đời như một "sứ giả truyền cảm hứng", cung cấp các giải pháp dinh dưỡng cân đối từ nền tảng thực vật thuần khiết kết hợp cùng công nghệ sản xuất vượt trội. Với hệ thống hơn 2.000 đối tác và phục vụ trên 30.000 khách hàng, chúng tôi không chỉ cung cấp sản phẩm giàu dưỡng chất mà còn xây dựng một cộng đồng kết nối, sẻ chia kiến thức chăm sóc sức khỏe. Đặc biệt, mỗi sản phẩm Forganic được bán ra đều đóng góp vào “Quỹ Forganic” nhằm lan tỏa sự tử tế và trách nhiệm xã hội, hướng tới mục tiêu trở thành lựa chọn ưu tiên hàng đầu trong lĩnh vực dinh dưỡng xanh tại Việt Nam.
Sản phẩm và Dịch vụ cốt lõi:
Sữa hạt Đa dưỡng chất: Nguồn năng lượng tự nhiên hỗ trợ chế độ ăn uống hàng ngày, phù hợp cho trẻ em từ 3 tuổi và người lớn.
Sữa hạt Bữa ăn thay thế: Giải pháp dinh dưỡng tiện lợi, đầy đủ dưỡng chất giúp duy trì vóc dáng và sức khỏe, phù hợp cho trẻ từ 7 tuổi.
Combo Dinh dưỡng tối ưu: Các gói trải nghiệm và bộ sản phẩm kết hợp đa dạng trọng lượng (600g - 800g) đáp ứng nhu cầu cả gia đình.
Cơ hội hợp tác kinh doanh: Nền tảng khởi nghiệp bền vững, hỗ trợ đối tác phát triển hệ thống phân phối sản phẩm dinh dưỡng sạch.
Tên đơn vị: Công ty Cổ phần Forganic
Nhà sáng lập: Nguyễn Ngọc Huy (Founder &amp; Chairman) &amp; Chris Tran (Co-Founder)
Địa chỉ: Số 38 – 40 Đường Phổ Quang, Phường Tân Bình, Thành phố Hồ Chí Minh.
Hotline: 0934 926 613
Email: support@forganic.vn
Website: </t>
    </r>
    <r>
      <rPr>
        <u/>
        <sz val="10"/>
        <rFont val="Arial"/>
      </rPr>
      <t>forganic.vn</t>
    </r>
  </si>
  <si>
    <t>cropped-Logo-forganic-green (1)_w256.webp</t>
  </si>
  <si>
    <t>A085_CAO DUYÊN.png</t>
  </si>
  <si>
    <t>A088</t>
  </si>
  <si>
    <t>Nguyễn Quang Hưng</t>
  </si>
  <si>
    <t>zRnVd_w256.webp</t>
  </si>
  <si>
    <t>Chủ doanh nghiệp</t>
  </si>
  <si>
    <t>NHÀ CUNG CẤP VĂN PHÒNG PHẨM LINH GIANG</t>
  </si>
  <si>
    <t>VPP Linh Giang</t>
  </si>
  <si>
    <t>Gemini_Generated_Image_so9i6rso9i6rso9i_W1024.webp</t>
  </si>
  <si>
    <t>336/16/20 Nguyễn Văn Luông, Phường Phú Lâm, TP. HCM</t>
  </si>
  <si>
    <t>0949754769</t>
  </si>
  <si>
    <t>vpplinhgiang@gmail.com</t>
  </si>
  <si>
    <t>https://qtbc.vn/m?c=A088</t>
  </si>
  <si>
    <t>Cung ứng Văn phòng phẩm</t>
  </si>
  <si>
    <t>Giấy in &amp; Vật tư Photocopy</t>
  </si>
  <si>
    <t>Dụng cụ học tập &amp; Văn phòng</t>
  </si>
  <si>
    <t>Thiết bị &amp; Máy văn phòng</t>
  </si>
  <si>
    <t>In ấn Quà tặng Doanh nghiệp</t>
  </si>
  <si>
    <t>Văn phòng phẩm Trọn gói</t>
  </si>
  <si>
    <t>Bút ký &amp; Sổ tay Cao cấp</t>
  </si>
  <si>
    <t>Giải pháp Lưu trữ Hồ sơ</t>
  </si>
  <si>
    <t>zRnVd.jpg</t>
  </si>
  <si>
    <t>Lê Chí Phi</t>
  </si>
  <si>
    <t>1c20cafe-8363-481b-b025-4e08c9a0deb9_w256.webp</t>
  </si>
  <si>
    <t>CÔNG TY TNHH MỘT THÀNH VIÊN PHI LÊ</t>
  </si>
  <si>
    <t>Phi Lê</t>
  </si>
  <si>
    <t>21d8f6fe-765e-4add-a750-b10b0a3ec00d.jpg</t>
  </si>
  <si>
    <t>Tỉnh Quảng Trị</t>
  </si>
  <si>
    <t>0987761999</t>
  </si>
  <si>
    <t>zalo.me/0987761999</t>
  </si>
  <si>
    <t>https://qtbc.vn/m?c=A089</t>
  </si>
  <si>
    <t>San lấp mặt bằng</t>
  </si>
  <si>
    <t>Xây dựng, vận tải</t>
  </si>
  <si>
    <t>SỐNG ĐỂ YÊU THƯƠNG</t>
  </si>
  <si>
    <t>21d8f6fe-765e-4add-a750-b10b0a3ec00d_w256.webp</t>
  </si>
  <si>
    <t>1c20cafe-8363-481b-b025-4e08c9a0deb9.jpg</t>
  </si>
  <si>
    <t>A090</t>
  </si>
  <si>
    <t>Nguyễn Đăng Phúc</t>
  </si>
  <si>
    <t>x</t>
  </si>
  <si>
    <t>TRUNG TÂM ĐÀO TẠO BÓNG ĐÁ</t>
  </si>
  <si>
    <t>0339775337</t>
  </si>
  <si>
    <t>dangphuc1401@gmail.com</t>
  </si>
  <si>
    <t>84339775337</t>
  </si>
  <si>
    <t>Thể thao</t>
  </si>
  <si>
    <t>Công ty Cổ phần Thể thao Đăng Phúc Sport</t>
  </si>
  <si>
    <t>A091</t>
  </si>
  <si>
    <t>Lê Văn Nhân</t>
  </si>
  <si>
    <t>5512065e-6a2b-41bc-b1c1-a96fa5fcb83d_w256.webp</t>
  </si>
  <si>
    <t xml:space="preserve">CÔNG TY TNHH TƯ VẤN XÂY DỰNG VÀ NỘI THẤT THIÊN PHÚ </t>
  </si>
  <si>
    <t>Thiên Phú Construction</t>
  </si>
  <si>
    <t>0306600406</t>
  </si>
  <si>
    <t>a4b801bc-7359-4f34-a5d6-c6b4d0865dec.jpg</t>
  </si>
  <si>
    <t>80/30 Đường số 5, Phường Gò Vấp, TP. Hồ Chí Minh</t>
  </si>
  <si>
    <t>nhanthienphu@gmail.com</t>
  </si>
  <si>
    <t>https://qtbc.vn/m?c=A091</t>
  </si>
  <si>
    <t>Thiết kế thi công xây dựng dân dụng</t>
  </si>
  <si>
    <t>Thiết kế thi công xây dựng nhà xưởng</t>
  </si>
  <si>
    <t>Thiết kế thi công ngoại thất</t>
  </si>
  <si>
    <t>Thiết kế thi công nội thất</t>
  </si>
  <si>
    <t>a4b801bc-7359-4f34-a5d6-c6b4d0865dec_w256.webp</t>
  </si>
  <si>
    <t>5512065e-6a2b-41bc-b1c1-a96fa5fcb83d.jpg</t>
  </si>
  <si>
    <t>A092</t>
  </si>
  <si>
    <t>Nguyễn Tiến Lạc</t>
  </si>
  <si>
    <t>CÔNG TY TNHH MTV KHANG NGUYÊN QUẢNG TRỊ</t>
  </si>
  <si>
    <t>Khang Nguyên QT</t>
  </si>
  <si>
    <t>3200753623</t>
  </si>
  <si>
    <t>Thôn Tân Xuân Thọ, Xã Diên Sanh, Quảng Trị</t>
  </si>
  <si>
    <t>0918242242</t>
  </si>
  <si>
    <t>hatrangnk72@gmail.com</t>
  </si>
  <si>
    <t>https://qtbc.vn/m?c=A092</t>
  </si>
  <si>
    <t>Chăn nuôi gia cầm, gia súc</t>
  </si>
  <si>
    <t>Trồng trọt, trồng rừng</t>
  </si>
  <si>
    <t>Buôn bán nông sản</t>
  </si>
  <si>
    <t>Vận tải hàng hoá</t>
  </si>
  <si>
    <t>Xây dựng</t>
  </si>
  <si>
    <t>Bất động sản</t>
  </si>
  <si>
    <t>A093</t>
  </si>
  <si>
    <t>Nguyễn Văn Hào</t>
  </si>
  <si>
    <t>q1U5D_w256.webp</t>
  </si>
  <si>
    <t>CÔNG TY TNHH ĐẦU TƯ PHÁT TRIỂN GIA HÀO GROUP</t>
  </si>
  <si>
    <t>Gia Hào Group</t>
  </si>
  <si>
    <t>T18-38 Manhattan, Vinhomes Grand Park, P Long Bình, TP Hồ Chí Minh</t>
  </si>
  <si>
    <t>0908686813</t>
  </si>
  <si>
    <t>nvh.giahaogroup@gmail.com</t>
  </si>
  <si>
    <t>84908686813</t>
  </si>
  <si>
    <t>https://fb.com/giahaogroupbds</t>
  </si>
  <si>
    <t>Môi giới bất động sản</t>
  </si>
  <si>
    <t>Tư vấn thiết kế xây dựng, nội - ngoại thất</t>
  </si>
  <si>
    <t>Các dự án của Vin Group</t>
  </si>
  <si>
    <t>Các sản phẩm BĐS cao cấp</t>
  </si>
  <si>
    <t>q1U5D.jpg</t>
  </si>
  <si>
    <t>A094</t>
  </si>
  <si>
    <t>Hoàng Minh Châu</t>
  </si>
  <si>
    <t>HOÀNG MINH CHÂU - phuong nguyen_w256.webp</t>
  </si>
  <si>
    <t>CÔNG TY TNHH NGÔI SAO CHÓI</t>
  </si>
  <si>
    <t>Ngôi Sao Chói</t>
  </si>
  <si>
    <t>0307635553</t>
  </si>
  <si>
    <t>493A/25 Cách Mạng Tháng Tám, Phường Hòa Hưng, TP Hồ Chí Minh</t>
  </si>
  <si>
    <t>704 đường Đinh Quang Ân, khu phố Hương Phước, Phường Phước Tân, Đồng Nai</t>
  </si>
  <si>
    <t>https://fb.com/hoang.chau.9026</t>
  </si>
  <si>
    <t>Cung cấp, mua bán, cho thuê, sửa chữa</t>
  </si>
  <si>
    <t>Máy in, photocopy, máy quét, TB văn phòng</t>
  </si>
  <si>
    <t>Thiết bị cho cơ quan và doanh nghiệp</t>
  </si>
  <si>
    <t>Châm mực, sửa chửa, bảo trì, bảo dưỡng</t>
  </si>
  <si>
    <t>HOÀNG MINH CHÂU - phuong nguyen.jpg</t>
  </si>
  <si>
    <t>A095</t>
  </si>
  <si>
    <t>Lê Văn Sinh</t>
  </si>
  <si>
    <t>6SbeT_w256.webp</t>
  </si>
  <si>
    <t>Đồng sáng lập &amp; Giám đốc điều hành</t>
  </si>
  <si>
    <t>CÔNG TY CỔ PHẦN XÂY DỰNG MÔI TRƯỜNG AN HÒA THỊNH</t>
  </si>
  <si>
    <t>An Hòa Thịnh</t>
  </si>
  <si>
    <t>0313185599</t>
  </si>
  <si>
    <t>5f52766a-0e36-40a8-8869-b5695e21ed13.jpg</t>
  </si>
  <si>
    <t>122-124 Lý Thường Kiệt, Phường Hạnh Thông, TP Hồ Chí Minh</t>
  </si>
  <si>
    <t>Xưởng Cơ – Điện 1.200m2 tại Xã Vĩnh Lộc, TP. Hồ Chí Minh</t>
  </si>
  <si>
    <t>0947455547</t>
  </si>
  <si>
    <t>lesinh.env@gmail.com</t>
  </si>
  <si>
    <t>https://qtbc.vn/m?c=A095</t>
  </si>
  <si>
    <t>Xử lý nước thải, nước cấp, khí thải</t>
  </si>
  <si>
    <t>Phòng cháy chữa cháy (PCCC)</t>
  </si>
  <si>
    <t>Cơ khí chế tạo &amp; bảo trì</t>
  </si>
  <si>
    <t>XD dân dụng, công nghiệp &amp; HTKT</t>
  </si>
  <si>
    <t>Tư vấn pháp lý, thiết kế hệ thống</t>
  </si>
  <si>
    <t>Triển khai &amp; vận hành</t>
  </si>
  <si>
    <t>5f52766a-0e36-40a8-8869-b5695e21ed13_w256.webp</t>
  </si>
  <si>
    <t>6SbeT.jpg</t>
  </si>
  <si>
    <t>A096</t>
  </si>
  <si>
    <t>A097</t>
  </si>
  <si>
    <t>Đỗ Xuân Tải</t>
  </si>
  <si>
    <t>A097_ĐỖ XUÂN TẢI_w256.webp</t>
  </si>
  <si>
    <t>CÔNG TY TNHH THƯƠNG MẠI DỊCH VỤ GIẢI PHÁP CÔNG NGHỆ ATS</t>
  </si>
  <si>
    <t>ATS</t>
  </si>
  <si>
    <t>0317359711</t>
  </si>
  <si>
    <t>107/6/13/23 Đường 38, Phường Hiệp Bình, TP Hồ Chí Minh</t>
  </si>
  <si>
    <t>0947881820</t>
  </si>
  <si>
    <t>thuyluckhinengiare@gmail.com</t>
  </si>
  <si>
    <t>84947881820</t>
  </si>
  <si>
    <t>https://linhkienats.com</t>
  </si>
  <si>
    <t>Thiết bị Tự động hóa</t>
  </si>
  <si>
    <t>Giải pháp IoT Công nghiệp</t>
  </si>
  <si>
    <t>Thủy lực &amp; Khí nén</t>
  </si>
  <si>
    <t>Lắp đặt Tủ điện Điều khiển</t>
  </si>
  <si>
    <t>Tủ điện Động lực</t>
  </si>
  <si>
    <t>Bảo trì Hệ thống Tự động</t>
  </si>
  <si>
    <t>Thiết kế Đường ống Khí nén</t>
  </si>
  <si>
    <t>Linh kiện Điện tử Autonics</t>
  </si>
  <si>
    <t>Công ty TNHH TMDV Giải pháp Công nghệ ATS là đơn vị chuyên môn cao trong lĩnh vực cung ứng thiết bị và triển khai giải pháp tự động hóa công nghiệp tại Việt Nam. Với thế mạnh về kỹ thuật và danh mục sản phẩm đa dạng, ATS tập trung vào các giải pháp truyền thông, điều khiển và hệ thống thủy lực - khí nén tối ưu về chi phí. Chúng tôi không chỉ là nhà phân phối các thiết bị công nghệ cao như cảm biến laser, bộ đếm, bộ chuyển đổi truyền thông (Autonics...) mà còn là đơn vị tư vấn thiết kế, thi công trọn gói các hệ thống điện động lực và điều khiển. Với đội ngũ hỗ trợ kỹ thuật hùng hậu và mạng lưới liên hệ trực tiếp rộng khắp, ATS cam kết đồng hành cùng các nhà máy, xí nghiệp trong việc bảo trì, nâng cấp và hiện đại hóa dây chuyền sản xuất theo xu hướng IoT và tự động hóa thông minh.
Sản phẩm và Dịch vụ cốt lõi:
Thiết bị Tự động hóa: Cung cấp bộ đếm LCD, máy quét Laser 2D, bộ chuyển đổi truyền thông và các dòng cảm biến công nghiệp.
Thủy lực &amp; Khí nén: Phân phối thiết bị thủy lực, khí nén giá rẻ đi kèm dịch vụ thiết kế và lắp đặt đường ống chuyên nghiệp.
Hệ thống Điện &amp; Điều khiển: Tư vấn, thiết kế và lắp đặt tủ điện động lực, tủ điện điều khiển theo yêu cầu kỹ thuật đặc thù.
Dịch vụ Kỹ thuật: Bảo trì, nâng cấp hệ thống tự động hóa công nghiệp và triển khai các giải pháp IoT trong sản xuất.
Tên đơn vị: Công ty TNHH TMDV Giải pháp Công nghệ ATS
Địa chỉ: Số 107/6/13/23, Đường số 38, Phường Hiệp Bình Chánh, Thành phố Thủ Đức (Quận Thủ Đức cũ).
Hotline: 028 7306 9868
Hỗ trợ kỹ thuật &amp; Kinh doanh: 0911 009 740 | 0941 287 270 | 0911 353 448 (và các số liên hệ hệ thống).
Email: thuyluckhinengiare@gmail.com
MST: 0317359711</t>
  </si>
  <si>
    <t>A097_ĐỖ XUÂN TẢI.png</t>
  </si>
  <si>
    <t>Đã phát hành A995</t>
  </si>
  <si>
    <t>Chưa ai trả lời</t>
  </si>
  <si>
    <t>môi trường</t>
  </si>
  <si>
    <t>A098</t>
  </si>
  <si>
    <t>Võ Mạnh Tuấn</t>
  </si>
  <si>
    <t>CÔNG TY TNHH PHÁT TRIỂN NHÀ TUẤN LỘC</t>
  </si>
  <si>
    <t>0314025083</t>
  </si>
  <si>
    <t>Đã nt</t>
  </si>
  <si>
    <t>BDS</t>
  </si>
  <si>
    <t>A099</t>
  </si>
  <si>
    <t>Đặng Bá Thưởng</t>
  </si>
  <si>
    <t>CÔNG TY TNHH DV VT TRUNG VIỆT</t>
  </si>
  <si>
    <t>3500441720</t>
  </si>
  <si>
    <t>vận tải</t>
  </si>
  <si>
    <t>Công ty TNHH DV VT Trung Việt</t>
  </si>
  <si>
    <t>A100</t>
  </si>
  <si>
    <t>Nguyễn Nhật Bằng</t>
  </si>
  <si>
    <t>090ec58a-c40a-4bf7-b869-d51c1c4ba063_w256.webp</t>
  </si>
  <si>
    <t>CÔNG TY CỔ PHẦN TRUFOOD</t>
  </si>
  <si>
    <t>TruFood</t>
  </si>
  <si>
    <t>0319164411</t>
  </si>
  <si>
    <t>564598178_4069922319929038_1473188570844470974_n.jpg</t>
  </si>
  <si>
    <t>99B Võ Oanh, Phường Thạnh Mỹ Tây, TP Hồ Chí Minh</t>
  </si>
  <si>
    <t>0981798307</t>
  </si>
  <si>
    <t>zalo.me/0981798307</t>
  </si>
  <si>
    <t>banhcanhcaloctran.com</t>
  </si>
  <si>
    <t>https://www.facebook.com/BangNhatNguyen.phuthinhhome</t>
  </si>
  <si>
    <t>https://www.tiktok.com/@bang_balance</t>
  </si>
  <si>
    <t>Nhà hàng và các dịch vụ ăn uống</t>
  </si>
  <si>
    <t>Sản xuất món ăn</t>
  </si>
  <si>
    <t>Sản xuất thực phẩm</t>
  </si>
  <si>
    <t>Chế biến thực phẩm</t>
  </si>
  <si>
    <t>564598178_4069922319929038_1473188570844470974_n_w256.webp</t>
  </si>
  <si>
    <t>090ec58a-c40a-4bf7-b869-d51c1c4ba063.jpg</t>
  </si>
  <si>
    <t>A101</t>
  </si>
  <si>
    <t>Nguyễn Thanh Phương</t>
  </si>
  <si>
    <t>A101_NGUYỄN THANH PHƯƠNG_w256.webp</t>
  </si>
  <si>
    <t>CTY TNHH XÂY DỰNG UNI 8</t>
  </si>
  <si>
    <t>Xây dựng Uni 8</t>
  </si>
  <si>
    <t>3200733105</t>
  </si>
  <si>
    <t>326 Trần Hưng Đạo, phường Quảng Trị, tỉnh Quảng Trị</t>
  </si>
  <si>
    <t>Xưởng nội thất: thôn Đại An Khê, xã Hải Lăng, tỉnh Quảng Trị</t>
  </si>
  <si>
    <t>0916117474</t>
  </si>
  <si>
    <t>xduni8@gmail.com</t>
  </si>
  <si>
    <t>https://qtbc.vn/m?c=A101</t>
  </si>
  <si>
    <t>Xây dựng dân dụng &amp; công nghiệp</t>
  </si>
  <si>
    <t>Thiết kế thi công trọn gói</t>
  </si>
  <si>
    <t>Xây dựng hạ tầng kỹ thuật</t>
  </si>
  <si>
    <t>Xây lắp hệ thống điện lạnh</t>
  </si>
  <si>
    <t>A101_NGUYỄN THANH PHƯƠNG.png</t>
  </si>
  <si>
    <t>A102</t>
  </si>
  <si>
    <t>Nguyễn Quang Hữu</t>
  </si>
  <si>
    <t>ec471ff8-6331-4c32-9f65-a9f20096d4ea_w256.webp</t>
  </si>
  <si>
    <t>Giám đốc Kinh doanh</t>
  </si>
  <si>
    <t>CÔNG TY CỔ PHẦN THANG MÁY CÁT THỊNH POOL</t>
  </si>
  <si>
    <t>Cát Thịnh Pool</t>
  </si>
  <si>
    <t>0314433477</t>
  </si>
  <si>
    <t>logo-1733111928.png.webp</t>
  </si>
  <si>
    <t>Số 4.B Đường số 5, Phường Bình Hưng Hòa, TP. Hồ Chí Minh</t>
  </si>
  <si>
    <t>0918033599</t>
  </si>
  <si>
    <t>salesmanager.thangmay@gmail.com</t>
  </si>
  <si>
    <t>http://catthinhpool.com.vn</t>
  </si>
  <si>
    <t>Cung cấp và lắp đặt thang máy</t>
  </si>
  <si>
    <t>Cung cấp và lắp đặt thiết bị hồ bơi</t>
  </si>
  <si>
    <t>Thang tải hàng, thang thực phẩm</t>
  </si>
  <si>
    <t>Cung cấp hóa chất xử lý hồ bơi</t>
  </si>
  <si>
    <t>Thang bệnh viện và chuyên dụng</t>
  </si>
  <si>
    <t>Bảo trì hồ bơi và thang máy</t>
  </si>
  <si>
    <t>Cung cấp sỉ lẻ TB xông hơi, sauna, steam</t>
  </si>
  <si>
    <t>Cung cấp linh kiện thang máy</t>
  </si>
  <si>
    <t>ec471ff8-6331-4c32-9f65-a9f20096d4ea.jpg</t>
  </si>
  <si>
    <t>A103</t>
  </si>
  <si>
    <t>Nguyễn Minh Vương</t>
  </si>
  <si>
    <t>CTY CỔ PHẦN CÔNG NGHỆ THỰC PHẨM ĐẤT VIỆT</t>
  </si>
  <si>
    <t>3801330809</t>
  </si>
  <si>
    <t>Zalo chặn</t>
  </si>
  <si>
    <t>ẩm thực</t>
  </si>
  <si>
    <t>Cty cổ phần công nghệ thực phẩm Đất Việt</t>
  </si>
  <si>
    <t>A104</t>
  </si>
  <si>
    <t>Nguyễn Hữu Ánh</t>
  </si>
  <si>
    <t>3829a412-ef2f-4014-ae3e-3cfdf3c51f4e_w256.webp</t>
  </si>
  <si>
    <t>CÔNG TY TNHH THIẾT KẾ - XÂY DỰNG WIN HOME</t>
  </si>
  <si>
    <t>0315958371</t>
  </si>
  <si>
    <t>B103, Chung cư Lakeside B, Khu đô thị Chí Linh, Phường Tam Thắng, TP. HCM</t>
  </si>
  <si>
    <t>0914090509</t>
  </si>
  <si>
    <t>anh@tme-tech.com</t>
  </si>
  <si>
    <t>84914090509</t>
  </si>
  <si>
    <t>https://qtbc.vn/m?c=A104</t>
  </si>
  <si>
    <t>Lắp đặt hệ thống điện</t>
  </si>
  <si>
    <t>Thi công điện năng lượng mặt trời</t>
  </si>
  <si>
    <t>Du lịch trong nước và quốc tế</t>
  </si>
  <si>
    <t>Công ty TNHH Thiết kế Xây dựng Win Home là đơn vị uy tín với hơn 15 năm kinh nghiệm trong lĩnh vực tư vấn thiết kế và thi công các công trình dân dụng tại TP.HCM và các tỉnh lân cận. Được thành lập từ năm 2009, Win Home quy tụ đội ngũ kiến trúc sư, kỹ sư có trình độ chuyên môn cao cùng lực lượng công nhân lành nghề, từng kinh qua nhiều dự án quy mô lớn dưới sự giám sát chặt chẽ của các đơn vị tư vấn quốc tế. Với triết lý "Xây tổ ấm – Dựng ước mơ", chúng tôi không chỉ chú trọng vào kỹ thuật xây dựng mà còn đề cao tính nghệ thuật và thẩm mỹ trong từng không gian sống, đặc biệt là các dòng biệt thự cao cấp, nhà phố và căn hộ. Win Home cam kết đồng hành cùng chủ đầu tư từ khâu xin cấp phép xây dựng, tư vấn vật tư tối ưu chi phí đến khi hoàn thiện bàn giao, đảm bảo mang lại giá trị thực và niềm tin bền vững cho khách hàng.
Sản phẩm và Dịch vụ cốt lõi:
Thiết kế Kiến trúc &amp; Nội thất: Chuyên thiết kế biệt thự vườn, nhà phố hiện đại với không gian tách biệt, thẩm mỹ và nghệ thuật cao.
Thi công Xây dựng Dân dụng: Thầu trọn gói các công trình nhà ở, biệt thự, đảm bảo tiến độ và chất lượng giám sát kỹ thuật nghiêm ngặt.
Tư vấn Giải pháp &amp; Chi phí: Hỗ trợ tính toán đơn giá xây dựng theo m2, lập bảng giá vật tư chi tiết và tư vấn cân đối ngân sách phù hợp cho chủ đầu tư.
Dịch vụ Pháp lý Xây dựng: Tư vấn và thực hiện thủ tục xin giấy phép xây dựng, hoàn công cho các công trình nhà ở riêng lẻ.
Tên đơn vị: Công ty TNHH Thiết kế Xây dựng Win Home
Địa chỉ: Số 652/3 Cộng Hòa, Phường 13, Thành phố Hồ Chí Minh.
Hotline: 0909 092 606
Email: xaydungwinhome@gmail.com
Website: xaydungwinhome.com</t>
  </si>
  <si>
    <t>3829a412-ef2f-4014-ae3e-3cfdf3c51f4e.jpg</t>
  </si>
  <si>
    <t>A105</t>
  </si>
  <si>
    <t>Lê Văn Trinh</t>
  </si>
  <si>
    <t>CTY TOÀN THẮNG</t>
  </si>
  <si>
    <t>Đã nhắn tin</t>
  </si>
  <si>
    <t>Cty Toàn Thắng</t>
  </si>
  <si>
    <t>A106</t>
  </si>
  <si>
    <t>Lê Vũ Thuật</t>
  </si>
  <si>
    <t xml:space="preserve"> CÔNG TY TNHH NHỰA MINH THÀNH </t>
  </si>
  <si>
    <t>3703098682</t>
  </si>
  <si>
    <t>0983777567</t>
  </si>
  <si>
    <t>công ty TNHH Nhựa Minh Thành</t>
  </si>
  <si>
    <t>A107</t>
  </si>
  <si>
    <t>Nguyễn Thanh Hưng</t>
  </si>
  <si>
    <t>FxfPK_w256.webp</t>
  </si>
  <si>
    <t>Chủ tịch &amp; Giám đốc Điều hành</t>
  </si>
  <si>
    <t>CÔNG TY TNHH CƠ KHÍ CHÍNH XÁC VIỆT NHẬT TÂN</t>
  </si>
  <si>
    <t>Việt Nhật Tân</t>
  </si>
  <si>
    <t>logovietnhattan-1174.png</t>
  </si>
  <si>
    <t>35/19/15 Phan Văn Hớn, Phường Đông Hưng Thuận, Tp. Hồ Chí Minh</t>
  </si>
  <si>
    <t>Ấp Hương Phước, Xã Phước Tân, Thành Biên Hoà, Tỉnh Đồng Nai</t>
  </si>
  <si>
    <t>0963117630</t>
  </si>
  <si>
    <t>hung.nguyen@vietnhattan.com.vn</t>
  </si>
  <si>
    <t>84963117630</t>
  </si>
  <si>
    <t>https://vietnhattan.com.vn</t>
  </si>
  <si>
    <t>https://www.facebook.com/vietnhattan.com.vn</t>
  </si>
  <si>
    <t>Gia công Phay &amp; Tiện CNC</t>
  </si>
  <si>
    <t>Cơ khí Chính xác theo yêu cầu</t>
  </si>
  <si>
    <t>Linh kiện Y tế &amp; Ô tô</t>
  </si>
  <si>
    <t>Gia công Nhôm Hợp kim</t>
  </si>
  <si>
    <t>Sản xuất Phụ tùng Máy may</t>
  </si>
  <si>
    <t>Linh kiện Máy Thực phẩm</t>
  </si>
  <si>
    <t>Điêu khắc Laser Công nghiệp</t>
  </si>
  <si>
    <t>Tư vấn Giải pháp Cơ khí</t>
  </si>
  <si>
    <t>Công ty TNHH Cơ khí Chính xác Việt Nhật Tân là đơn vị chuyên gia công cơ khí chính xác theo yêu cầu với hơn 10 năm kinh nghiệm, vận hành theo triết lý "Chất lượng Nhật Bản – Giá thành Việt Nam". Với hệ sinh thái sản xuất tối ưu bao gồm 3 nhà máy quy mô (VTA, TLP, VN-Tech), chúng tôi quy tụ đội ngũ nhân sự giàu tâm huyết, luôn đặt "Thân – Tâm – Trí" vào từng sản phẩm để tạo ra những kết quả phi thường. Việt Nhật Tân sở hữu năng lực gia công đa dạng trên nhiều loại vật liệu như hợp kim nhôm, đồng, thép, inox và nhựa kỹ thuật, đáp ứng các tiêu chuẩn khắt khe nhất của thị trường quốc tế. Chúng tôi tự hào là đối tác chiến lược cung ứng linh kiện cho các ngành công nghiệp mũi nhọn như y tế, ô tô, thực phẩm và đóng gói, không ngừng nỗ lực để trở thành chuyên gia hàng đầu trong lĩnh vực phay và tiện CNC tại Việt Nam.
Sản phẩm và Dịch vụ cốt lõi:
Gia công CNC theo bản vẽ: Chuyên phay và tiện CNC chính xác cao trên các vật liệu nhôm hợp kim (A6061, A7075...), thép (SKD11, S50C...), đồng và inox.
Linh kiện thiết bị chuyên ngành: Sản xuất linh kiện chính xác cho ngành y tế, máy may công nghiệp, phụ tùng ô tô và máy móc ngành thực phẩm.
Gia công nhựa kỹ thuật: Chế tác các chi tiết từ nhựa POM, PVC, PE, PA phục vụ lắp ráp máy móc.
Công nghệ bổ trợ hiện đại: Dịch vụ điêu khắc Laser tốc độ cao hỗ trợ khắc mã vạch, chữ số lên bề mặt sản phẩm và lắp ráp hoàn thiện theo yêu cầu.
Tên đơn vị: Công ty TNHH Cơ khí Chính xác Việt Nhật Tân
Trụ sở chính (Nhà máy VTA): Số 35/19/15 Phan Văn Hớn, Phường Tân Thới Nhất, Thành phố Hồ Chí Minh.
Nhà máy TLP: Ấp Hương Phước, Phường Phước Tân, Thành phố Biên Hòa.
Nhà máy VTE: Số 3/2 Đường số 86, Ấp Xóm Đồng, Xã Tân Phú Trung, Huyện Củ Chi.
Hotline: 028 6259 1213 - 0963 117 664
Email: sales1@https://www.google.com/search?q=vietnhattan.com.vn | hung.nguyen@https://www.google.com/search?q=vietnhattan.com.vn
Website: https://www.google.com/search?q=vietnhattan.com.vn</t>
  </si>
  <si>
    <t>logovietnhattan-1174_w256.webp</t>
  </si>
  <si>
    <t>FxfPK.jpg</t>
  </si>
  <si>
    <t>A108</t>
  </si>
  <si>
    <t>Trần Quang Dũng</t>
  </si>
  <si>
    <t>CEO_PNG_w256.webp</t>
  </si>
  <si>
    <t>CÔNG TY TNHH SẢN XUẤT VÀ THƯƠNG MẠI ĐỨC KIM TINH</t>
  </si>
  <si>
    <t>Đức Kim Tinh</t>
  </si>
  <si>
    <t>0312556314</t>
  </si>
  <si>
    <t>duckimtinh-90x88.png</t>
  </si>
  <si>
    <t>368 đường Tạo Lực, tổ 2, ấp 7, Xã An Long, TP Hồ Chí Minh</t>
  </si>
  <si>
    <t>0933442347</t>
  </si>
  <si>
    <t>dungducgang@gmail.com</t>
  </si>
  <si>
    <t>www.duckimtinh.com</t>
  </si>
  <si>
    <t>Sản xuất Phôi Gang cầu</t>
  </si>
  <si>
    <t>Đúc Phôi Gang xám</t>
  </si>
  <si>
    <t>Gia công Cơ khí chính xác</t>
  </si>
  <si>
    <t>Đúc kim loại theo yêu cầu</t>
  </si>
  <si>
    <t>Cung ứng Phôi thép &amp; Hợp kim</t>
  </si>
  <si>
    <t>Tư vấn Kỹ thuật ngành đúc</t>
  </si>
  <si>
    <t>Thiết kế &amp; Chế tạo Khuôn đúc</t>
  </si>
  <si>
    <t>Gia công Chi tiết Máy công nghiệp</t>
  </si>
  <si>
    <t>Công ty TNHH Sản xuất và Thương mại Đức Kim Tinh là doanh nghiệp uy tín hàng đầu trong lĩnh vực đúc kim loại và gia công cơ khí chính xác tại khu vực phía Nam. Được thành lập từ năm 2013, Đức Kim Tinh đã khẳng định vị thế vững chắc thông qua việc cung cấp các loại phôi gang, thép và hợp kim chất lượng cao cho các ngành công nghiệp nặng và chế tạo máy. Với nhà máy hiện đại, quy trình sản xuất khép kín và đội ngũ kỹ sư giàu kinh nghiệm, chúng tôi tự hào mang đến những sản phẩm có độ bền vượt trội và độ chính xác tuyệt đối. Lấy triết lý "Kiên tâm nâng tầm giá trị" làm kim chỉ nam, Đức Kim Tinh không ngừng cải tiến công nghệ, tối ưu hóa hiệu suất sản xuất để trở thành đối tác tin cậy, đồng hành cùng sự thành công bền vững của quý khách hàng trong và ngoài nước.
Sản phẩm và Dịch vụ cốt lõi:
Cung ứng Phôi kim loại: Chuyên sản xuất phôi gang cầu, phôi gang xám, phôi thép và các loại phôi hợp kim đặc biệt theo yêu cầu.
Đúc kim loại chuyên nghiệp: Dịch vụ đúc khuôn và sản phẩm đúc đa dạng, đảm bảo chất lượng phôi sạch, không rỗ khí và đúng thành phần vật liệu.
Gia công Cơ khí chính xác: Nhận gia công các chi tiết kỹ thuật phức tạp trên nhiều loại vật liệu với độ sai số cực thấp.
Tư vấn Giải pháp ngành đúc: Khảo sát kỹ thuật, tư vấn bản vẽ và cung cấp các giải pháp công nghệ hiệu quả giúp tối ưu hóa chi phí sản xuất cho doanh nghiệp.
Tên đơn vị: Công ty TNHH Sản xuất và Thương mại Đức Kim Tinh
Địa chỉ: Số 368 Đường Tạo Lực, Xã An Long, Phú Giáo, Thành phố Hồ Chí Minh.
Hotline: 0933 442 347 (Kinh doanh) – 0937 120 881 (Kỹ thuật)</t>
  </si>
  <si>
    <t>duckimtinh-90x88_w256.webp</t>
  </si>
  <si>
    <t>CEO_PNG.png</t>
  </si>
  <si>
    <t>A109</t>
  </si>
  <si>
    <t>Tô Hoài (Sushi)</t>
  </si>
  <si>
    <t>8ccf6c8a-612c-4fa7-ace8-c18fff9caced_w256.webp</t>
  </si>
  <si>
    <t>CÔNG TY TNHH KỸ THUẬT CÔNG NGHỆ VINH PHÁT</t>
  </si>
  <si>
    <t>Vinh Phát</t>
  </si>
  <si>
    <t>0318812236</t>
  </si>
  <si>
    <t>5a9f9d8d-4f9b-4bc9-a3d6-c867a1dcca67.jpg</t>
  </si>
  <si>
    <t>38/22 Bình Chiểu, Phường Tam Bình, Thành phố Hồ Chí Minh</t>
  </si>
  <si>
    <t>vinhphattech2025@gmail.com</t>
  </si>
  <si>
    <t>https://qtbc.vn/m?c=A109</t>
  </si>
  <si>
    <t>Cung cấp máy phay, tiện CNC</t>
  </si>
  <si>
    <t>Cung cấp máy chấn tôn CNC</t>
  </si>
  <si>
    <t>Cung cấp máy cắt laser</t>
  </si>
  <si>
    <t>Cung cấp giải pháp tự động hoá</t>
  </si>
  <si>
    <t>5a9f9d8d-4f9b-4bc9-a3d6-c867a1dcca67_w256.webp</t>
  </si>
  <si>
    <t>8ccf6c8a-612c-4fa7-ace8-c18fff9caced.jpg</t>
  </si>
  <si>
    <t>A110</t>
  </si>
  <si>
    <t>Nguyễn Thanh Hiếu</t>
  </si>
  <si>
    <t>founder Hieu Quang Tri 2_w256.webp</t>
  </si>
  <si>
    <t>Founder</t>
  </si>
  <si>
    <t>CÔNG TY TNHH KỶ NGHỆ ẨM THỰC HIẾU QUẢNG TRỊ</t>
  </si>
  <si>
    <t>Hiếu Quảng Trị</t>
  </si>
  <si>
    <t>8308462900-001</t>
  </si>
  <si>
    <t>1-09.jpg</t>
  </si>
  <si>
    <t>Số 48 đường Bàu Cát, Phường Tân Bình, TP Hồ Chí Minh</t>
  </si>
  <si>
    <t>0985950506</t>
  </si>
  <si>
    <t>hieu77lawyer@gmail.com</t>
  </si>
  <si>
    <t>https://fb.com/hieu.nguyenthanh.718</t>
  </si>
  <si>
    <t>https://banhcanhcaloc.vn</t>
  </si>
  <si>
    <t>tiktok.com/@hieubanhcanhcaloc</t>
  </si>
  <si>
    <t>Nhượng quyền thương mại</t>
  </si>
  <si>
    <t>Setup quán ăn trọn gói</t>
  </si>
  <si>
    <t>Đào tạo nghề bếp chuyên nghiệp</t>
  </si>
  <si>
    <t>R&amp;D chuyển giao ẩm thực</t>
  </si>
  <si>
    <t>Phục vụ đặc sản Quảng Trị</t>
  </si>
  <si>
    <t>Sản xuất thực phẩm sạch</t>
  </si>
  <si>
    <t>Máy móc thiết bị thực phẩm</t>
  </si>
  <si>
    <t>Tư vấn vận hành F&amp;B</t>
  </si>
  <si>
    <t>KẾ THỪA TRUYỀN THỐNG, KIẾN TẠO THÀNH CÔNG</t>
  </si>
  <si>
    <t>CÔNG TY TNHH KỶ NGHỆ ẨM THỰC HIẾU QUẢNG TRỊ
"Gói trọn tinh hoa – Lan tỏa vị quê"
GIỚI THIỆU CHUNG
Công ty TNHH Kỷ Nghệ Ẩm Thực Hiếu Quảng Trị, dẫn dắt bởi Founder Nguyễn Thanh Hiếu, là đơn vị tiên phong trong việc nâng tầm và chuyên nghiệp hóa ẩm thực đặc sản Quảng Trị. Với sứ mệnh gìn giữ hương vị truyền thống kết hợp cùng tư duy vận hành hiện đại, chúng tôi không chỉ phục vụ những món ăn đậm chất quê hương mà còn cung cấp giải pháp toàn diện cho các nhà đầu tư trong ngành F&amp;B.
NĂNG LỰC CỐT LÕI
Chúng tôi tự hào sở hữu quy trình R&amp;D chuyên sâu, hệ thống đào tạo nghề bếp bài bản và năng lực sản xuất máy móc thực phẩm chuyên dụng. Với hệ sinh thái khép kín từ khâu chế biến đến vận hành, Hiếu Quảng Trị là đối tác tin cậy trong việc chuyển giao công nghệ thực phẩm và setup mô hình quán ăn chuyên nghiệp trên toàn quốc.
GIÁ TRỊ CAM KẾT
Sáng tạo (R&amp;D): Không ngừng nghiên cứu để tối ưu hương vị và quy trình sản xuất.
Tận tâm Đào tạo: Truyền nghề bằng cái tâm, đảm bảo chuẩn vị và hiệu quả kinh doanh.
Đồng hành Thịnh vượng: Hỗ trợ đối tác nhượng quyền và setup từ ý tưởng đến thực thi.
THÔNG TIN LIÊN HỆ
Địa chỉ: Số 48 đường Bàu Cát, Phường 14, Quận Tân Bình, TP. HCM
Hotline: 0985 950 506 – 0966 940 164
Website: www.banhcanhcaloc.vn
Email: hieu77lawyer@gmail.com</t>
  </si>
  <si>
    <t>1-09_w256.webp</t>
  </si>
  <si>
    <t>founder Hieu Quang Tri 2.jpg</t>
  </si>
  <si>
    <t>A111</t>
  </si>
  <si>
    <t>Lê Cẩm Hương</t>
  </si>
  <si>
    <t>DHZ_8464 - le thi cam huong_w256.webp</t>
  </si>
  <si>
    <t>CÔNG TY TNHH MANULIFE (VIỆT NAM)</t>
  </si>
  <si>
    <t>Bảo hiểm Manulife</t>
  </si>
  <si>
    <t>0301774984</t>
  </si>
  <si>
    <t>02c31208f34dad436a5a57abc90b78b6.jpg</t>
  </si>
  <si>
    <t>9-11 Tôn Đức Thắng, Phường Sài Gòn, Tp. Hồ Chí Minh</t>
  </si>
  <si>
    <t>manulife.com.vn</t>
  </si>
  <si>
    <t>https://fb.com/share/1AqAy85Jwa</t>
  </si>
  <si>
    <t>Bảo hiểm Sức khỏe &amp; Y tế</t>
  </si>
  <si>
    <t>Bảo hiểm Nhân thọ trọn đời</t>
  </si>
  <si>
    <t>Giải pháp Hưu trí &amp; Đầu tư</t>
  </si>
  <si>
    <t>Bảo hiểm Giáo dục cho con</t>
  </si>
  <si>
    <t>Bảo hiểm Tai nạn &amp; Bệnh lý</t>
  </si>
  <si>
    <t>Bảo hiểm Liên kết Ngân hàng</t>
  </si>
  <si>
    <t>QUYẾT ĐỊNH DỄ DÀNG, CUỘC SỐNG VẸN TOÀN</t>
  </si>
  <si>
    <t>CÔNG TY TNHH MANULIFE (VIỆT NAM)
"Quyết định dễ dàng, Cuộc sống vẹn toàn"
GIỚI THIỆU CHUNG
Được thành lập từ năm 1999, Manulife Việt Nam tự hào là doanh nghiệp bảo hiểm nhân thọ có vốn đầu tư nước ngoài đầu tiên tại thị trường. Với hơn 25 năm kinh nghiệm, Manulife đã khẳng định vị thế dẫn đầu thông qua các giải pháp tài chính đa dạng và dịch vụ khách hàng số hóa hiện đại. Chúng tôi cam kết giúp khách hàng đưa ra những quyết định dễ dàng để tận hưởng một cuộc sống tốt đẹp hơn mỗi ngày.
THÀNH TỰU &amp; VỊ THẾ
Manulife Việt Nam sở hữu danh mục sản phẩm ưu việt, mạng lưới phân phối rộng khắp và hệ thống đại lý chuyên nghiệp. Công ty liên tục nhận được các giải thưởng uy tín về môi trường làm việc, chuyển đổi số và là đơn vị bảo hiểm nhân thọ có vốn điều lệ lớn nhất thị trường (tính đến các kỳ báo cáo gần nhất).
GIÁ TRỊ CỐT LÕI
Khách hàng là trọng tâm: Mọi cải tiến đều hướng tới sự tiện lợi và an tâm cho khách hàng.
Chuyển đổi số mạnh mẽ: Tiên phong trong việc ứng dụng công nghệ để tối ưu hóa quy trình chi trả bảo hiểm và quản lý hợp đồng.
Phát triển bền vững: Đồng hành cùng cộng đồng thông qua các hoạt động an sinh xã hội và giáo dục tài chính.</t>
  </si>
  <si>
    <t>02c31208f34dad436a5a57abc90b78b6_w256.webp</t>
  </si>
  <si>
    <t>DHZ_8464 - le thi cam huong.jpeg</t>
  </si>
  <si>
    <t>A112</t>
  </si>
  <si>
    <t>Trần Quân</t>
  </si>
  <si>
    <t>CTY TNHH THƯƠNG MẠI VÀ DICH VỤ KỸ THUẬT TÂN HOA</t>
  </si>
  <si>
    <t>0304997724</t>
  </si>
  <si>
    <t>KEO SILICON</t>
  </si>
  <si>
    <t>A113</t>
  </si>
  <si>
    <t>Lê Phúc Duy</t>
  </si>
  <si>
    <t>0903323316</t>
  </si>
  <si>
    <t>baobidaidaiphat@yahoo.com.vn</t>
  </si>
  <si>
    <t>84903323316</t>
  </si>
  <si>
    <t>A114</t>
  </si>
  <si>
    <t>Võ Văn Hòa</t>
  </si>
  <si>
    <t>TNHH TM DV NGÂN NGÂN</t>
  </si>
  <si>
    <t>0302466887</t>
  </si>
  <si>
    <t>A115</t>
  </si>
  <si>
    <t>Nguyễn Triển</t>
  </si>
  <si>
    <t>A116</t>
  </si>
  <si>
    <t>Nguyễn Thị Thu Quỳnh</t>
  </si>
  <si>
    <t>A117</t>
  </si>
  <si>
    <t>Nguyễn Viết Quyền</t>
  </si>
  <si>
    <t>A118</t>
  </si>
  <si>
    <t>Lê Bình</t>
  </si>
  <si>
    <t>A119</t>
  </si>
  <si>
    <t>Bùi Văn Hà</t>
  </si>
  <si>
    <t>A120</t>
  </si>
  <si>
    <t>Lê Trần Ngọc Khánh</t>
  </si>
  <si>
    <t>A916</t>
  </si>
  <si>
    <t>Trần Thị Thảo</t>
  </si>
  <si>
    <t>Gemini_Generated_Image_af2hdqaf2hdqaf2h_W1024.webp</t>
  </si>
  <si>
    <t>Trưởng phòng Kinh doanh</t>
  </si>
  <si>
    <t>Tổng Công ty Bảo hiểm PVI (Bảo hiểm PVI)</t>
  </si>
  <si>
    <t>PVI</t>
  </si>
  <si>
    <t>images (1).png</t>
  </si>
  <si>
    <t>Tầng 19, Số 1-5 Lê Duẩn, Phường Sài Gòn, Thành phố Hồ Chí Minh</t>
  </si>
  <si>
    <t>0907116484</t>
  </si>
  <si>
    <t>thaott@pvi.com.vn</t>
  </si>
  <si>
    <t>www.pvi.com.vn</t>
  </si>
  <si>
    <t>Bảo hiểm Phi nhân thọ</t>
  </si>
  <si>
    <t>Bảo hiểm Sức khỏe PVI Care</t>
  </si>
  <si>
    <t>Bảo hiểm Tài sản &amp; Kỹ thuật</t>
  </si>
  <si>
    <t>Bảo hiểm Dầu khí &amp; Năng lượng</t>
  </si>
  <si>
    <t>Bảo hiểm Hàng không</t>
  </si>
  <si>
    <t>Giám định &amp; Bồi thường</t>
  </si>
  <si>
    <t>NGỌN LỬA CỦA NIỀM TIN</t>
  </si>
  <si>
    <t>Tổng Công ty Bảo hiểm PVI (Bảo hiểm PVI) là doanh nghiệp bảo hiểm phi nhân thọ hàng đầu Việt Nam, thành viên của PVI Holdings – đơn vị có sự tham gia vốn từ Tập đoàn Dầu khí Quốc gia Việt Nam (PVN) và tập đoàn tài chính uy tín quốc tế HDI Global SE. Với xếp hạng tín nhiệm tài chính quốc tế ở mức cao (A- xuất sắc), Bảo hiểm PVI khẳng định vị thế vững chắc trong việc cung cấp các giải pháp bảo vệ rủi ro chuyên biệt cho các ngành kinh tế trọng điểm như Dầu khí, Năng lượng, Hàng không và Hàng hải. Chúng tôi cam kết mang lại sự an tâm tuyệt đối cho khách hàng thông qua mạng lưới mạng lưới chi nhánh phủ rộng toàn quốc, quy trình bồi thường minh bạch, nhanh chóng và các sản phẩm bảo hiểm số hóa hiện đại, đáp ứng linh hoạt nhu cầu của cả doanh nghiệp lẫn cá nhân trong kỷ nguyên mới.
Sản phẩm và Dịch vụ cốt lõi:
Bảo hiểm Công nghiệp &amp; Dự án: Bảo hiểm tài sản, xây dựng lắp đặt, trách nhiệm nghề nghiệp và rủi ro dầu khí/năng lượng.
Bảo hiểm Xe cơ giới: Bảo hiểm bắt buộc và tự nguyện cho ô tô, xe máy với hệ thống gara liên kết chính hãng trên toàn quốc.
Bảo hiểm Chăm sóc Sức khỏe: Các gói PVI Care cao cấp hỗ trợ chi phí y tế nội trú, ngoại trú tại các bệnh viện hàng đầu trong và ngoài nước.
Bảo hiểm Hàng hải &amp; Hàng không: Bảo vệ rủi ro cho thân tàu, hàng hóa vận chuyển quốc tế và phi đội bay.
Tên đơn vị: Tổng Công ty Bảo hiểm PVI (Bảo hiểm PVI)
Trụ sở chính: Tòa nhà PVI, Số 1 Phạm Văn Bạch, Phường Yên Hòa, Quận Cầu Giấy, Hà Nội.
Văn phòng đại diện khu vực: [Điền địa chỉ cụ thể nếu anh làm cho chi nhánh địa phương]
Hotline: 1900 54 54 58
Email: customer@pvi.com.vn</t>
  </si>
  <si>
    <t>images (1)_w256.webp</t>
  </si>
  <si>
    <t>A995</t>
  </si>
  <si>
    <t>Nguyễn Tiến Đạt</t>
  </si>
  <si>
    <t>6a2e8929e4896ad73398_w256.webp</t>
  </si>
  <si>
    <t>59 Thới An 15, Phường Thới An, Thành Phố Hồ Chí Minh</t>
  </si>
  <si>
    <t>0792500517</t>
  </si>
  <si>
    <t>anhoathinhec@gmail.com</t>
  </si>
  <si>
    <t>wxid_erjqeptki03812</t>
  </si>
  <si>
    <t>https://fb.com/nguyentiendatmt</t>
  </si>
  <si>
    <t>6a2e8929e4896ad73398.jpg</t>
  </si>
  <si>
    <t>Source</t>
  </si>
  <si>
    <t>Session_ID</t>
  </si>
  <si>
    <t>Chat_History</t>
  </si>
  <si>
    <t>lacs_1774416126189_ioh6hd5o</t>
  </si>
  <si>
    <t>Anh Phụng năm nay bao nhiêu tuổi</t>
  </si>
  <si>
    <t>Anh Hoàng Minh Phụng sinh năm **1983**, vậy anh năm nay **41 tuổi**.</t>
  </si>
  <si>
    <t>Sai rồi, tính lại</t>
  </si>
  <si>
    <t>Dạ, em xin lỗi vì sự nhầm lẫn. Anh Hoàng Minh Phụng sinh ngày **06/06/1983**. Tính đến năm 2024, anh đã **41 tuổi**.</t>
  </si>
  <si>
    <t>Tính đến năm 2026</t>
  </si>
  <si>
    <t>Dạ, tính đến năm **2026**, anh Hoàng Minh Phụng sẽ **43 tuổi** (sinh năm 1983).</t>
  </si>
  <si>
    <t>lacs_1774416180589_oatvpf3s</t>
  </si>
  <si>
    <t>tiểu sử Hoàng Minh Phụng</t>
  </si>
  <si>
    <t>**Tiểu sử Hoàng Minh Phụng**
*   **Sinh năm:** 06/06/1983.
*   **Quê quán:** Vĩnh Thành, Vĩnh Linh (nay là xã Cửa Tùng), tỉnh Quảng Trị. Từng học tại THPT Chuyên Lê Quý Đôn, Đông Hà.
*   **Học vấn:** Kỹ sư Điện tử - Viễn thông, Học viện Công nghệ Bưu chính Viễn thông (PTIT) TP.HCM.
*   **Vị trí hiện tại:**
    *   Giám đốc Phát triển Kinh doanh, **Viettel Software** (Miền Nam).
    *   Founder &amp; Innovation Principal, **Công ty TNHH Công nghệ Ứng</t>
  </si>
  <si>
    <t>lacs_1774508398082_2zy897bd</t>
  </si>
  <si>
    <t>Chào bạn. Tôi muốn tư vấn sản phẩm cho tôm</t>
  </si>
  <si>
    <t>Chào anh/chị, rất vui được hỗ trợ anh/chị.
Công ty TNHH Đại An Thái chúng tôi chuyên cung cấp các sản phẩm thuốc thủy sản cho tôm, từ xử lý môi trường, phòng bệnh đến tăng cường sức khỏe. Để tư vấn chính xác, anh/chị có thể cho biết:
*   **Giai đoạn nuôi** (thả giống, đang nuôi, chuẩn bị thu hoạch)?
*   **Mục đích sử dụng** (xử lý nước, phòng bệnh đường ruột, tăng trọng...)?
Hoặc anh/chị có thể tham khảo một số dòng sản phẩm tiêu biểu của ch</t>
  </si>
  <si>
    <t>Cho xin sđt anh Trung để đặt hàng</t>
  </si>
  <si>
    <t>Chào anh/chị,
Thông tin liên hệ trực tiếp của **Mr. Lê Phước Trung** như sau:
*   **Số điện thoại:** **0943 208 000**
*   **Địa chỉ công ty:** Số 20, Đường số 1, KDC Bình Chiểu 2, Phường Tam Bình, TP.HCM.
Anh/chị vui lòng liên hệ trong giờ hành chính để được tư vấn và đặt hàng trực tiếp ạ.</t>
  </si>
  <si>
    <t>lacs_1776480286868_ud5lwaj6</t>
  </si>
  <si>
    <t>Công ty Tâm Nguyên ở đâu</t>
  </si>
  <si>
    <t>Công ty TNHH TV KT Môi trường Tâm Nguyên có trụ sở tại:
**Địa chỉ:** 78/6B Nguyễn Văn Săng, Phường Tân Sơn Nhì, TP. Hồ Chí Minh.
Bạn có thể liên hệ trực tiếp qua số điện thoại **0913118612** hoặc truy cập website **https://www.moitruongtamnguyen.com** để được tư vấn chi tiết.</t>
  </si>
  <si>
    <t>Các lĩnh vực kinh doanh của Tâm Nguyên</t>
  </si>
  <si>
    <t>Công ty TNHH TV KT Môi trường Tâm Nguyên của Ms. Trương Thị Ngọc Thảo hoạt động chính trong các lĩnh vực:
*   **Quan trắc môi trường định kỳ**
*   **Thiết kế &amp; vận hành hệ thống xử lý nước thải**
*   **Tư vấn hồ sơ pháp lý môi trường**
*   **Thu gom &amp; xử lý chất thải công nghiệp**
*   **Hệ thống nước cấp – RO/UF**
*   **Xử lý khí thải – mùi công nghiệp**
*   **Cải tạo – nâng cấp hệ thống nước thải**
*   **Đào tạo vận hành &amp; ISO 14001**
Với phương</t>
  </si>
  <si>
    <t>lacs_1777986629628_jontpnwo</t>
  </si>
  <si>
    <t>Xin chào Lan Trần, bạn bán gì đó</t>
  </si>
  <si>
    <t>Chào bạn! Cảm ơn bạn đã quan tâm. Tôi là Hathyo, trợ lý của Ms. Trần Thị Lan.
Công ty chúng tôi chuyên **sản xuất và kinh doanh nông sản sạch**, với các sản phẩm như: bột rau củ sấy lạnh, ngũ cốc hạt sen, bánh hạt dinh dưỡng và dược liệu thảo mộc. Bạn quan tâm đến sản phẩm nào, để tôi hỗ trợ thêm nhé!</t>
  </si>
  <si>
    <t>Bán cho tôi 2 hộp, giảm giá tốt nhé</t>
  </si>
  <si>
    <t>Cảm ơn bạn đã quan tâm! Để Ms. Trần Thị Lan tư vấn chi tiết về sản phẩm và chương trình giảm giá phù hợp, bạn vui lòng để lại **số điện thoại hoặc email**, tôi sẽ chuyển thông tin để cô ấy liên hệ lại nhanh nhất.</t>
  </si>
  <si>
    <t>Time</t>
  </si>
  <si>
    <t>Name</t>
  </si>
  <si>
    <t>Purpose</t>
  </si>
  <si>
    <t>Title</t>
  </si>
  <si>
    <t>Message</t>
  </si>
  <si>
    <t>lacs_1764952327210_wwit7u7xb</t>
  </si>
  <si>
    <t>Hùng Minh Phoạng</t>
  </si>
  <si>
    <t>Đăng ký mua hàng</t>
  </si>
  <si>
    <t>phunghm@gmail.com</t>
  </si>
  <si>
    <t>Tranh thủ test auto contact form</t>
  </si>
  <si>
    <t>Chúc cả nhà ngủ vui!</t>
  </si>
  <si>
    <t>sess_1773331578683_j2cnvp801</t>
  </si>
  <si>
    <t>Hoàng</t>
  </si>
  <si>
    <t>Mua hàng</t>
  </si>
  <si>
    <t>OK</t>
  </si>
  <si>
    <t>Good morning</t>
  </si>
  <si>
    <t>lacs_1773373183212_424ua70c</t>
  </si>
  <si>
    <t>lacs_1774020856288_t5nxmqc3</t>
  </si>
  <si>
    <t xml:space="preserve">Lê Thị Anh Đào </t>
  </si>
  <si>
    <t>Khác</t>
  </si>
  <si>
    <t>Công Việc</t>
  </si>
  <si>
    <t>chào anh, em muốn tư vấn</t>
  </si>
  <si>
    <t>lacs_1774188266182_5fv4krau</t>
  </si>
  <si>
    <t>h</t>
  </si>
  <si>
    <t>Giới thiệu đối tác</t>
  </si>
  <si>
    <t>f</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</si>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</sst>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9" x14ac:knownFonts="1">
    <font>
      <sz val="10"/>
      <color rgb="FF000000"/>
      <name val="Arial"/>
      <scheme val="minor"/>
    </font>
    <font>
      <b/>
      <sz val="10"/>
      <color theme="1"/>
      <name val="Arial"/>
    </font>
    <font>
      <sz val="10"/>
      <color theme="1"/>
      <name val="Arial"/>
    </font>
    <font>
      <sz val="10"/>
      <color theme="1"/>
      <name val="Arial"/>
      <scheme val="minor"/>
    </font>
    <font>
      <u/>
      <sz val="10"/>
      <color rgb="FF0000FF"/>
      <name val="Arial"/>
    </font>
    <font>
      <u/>
      <sz val="10"/>
      <color rgb="FF0000FF"/>
      <name val="Arial"/>
    </font>
    <font>
      <u/>
      <sz val="10"/>
      <color rgb="FF0000FF"/>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0"/>
      <color rgb="FFFFFFFF"/>
      <name val="Arial"/>
    </font>
    <font>
      <sz val="10"/>
      <name val="Arial"/>
    </font>
    <font>
      <u/>
      <sz val="10"/>
      <name val="Arial"/>
    </font>
  </fonts>
  <fills count="12">
    <fill>
      <patternFill patternType="none"/>
    </fill>
    <fill>
      <patternFill patternType="gray125"/>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0000FF"/>
        <bgColor rgb="FF0000FF"/>
      </patternFill>
    </fill>
    <fill>
      <patternFill patternType="solid">
        <fgColor rgb="FFFFFFFF"/>
        <bgColor rgb="FFFFFFFF"/>
      </patternFill>
    </fill>
    <fill>
      <patternFill patternType="solid">
        <fgColor rgb="FFF3F3F3"/>
        <bgColor rgb="FFF3F3F3"/>
      </patternFill>
    </fill>
    <fill>
      <patternFill patternType="solid">
        <fgColor rgb="FFB7B7B7"/>
        <bgColor rgb="FFB7B7B7"/>
      </patternFill>
    </fill>
    <fill>
      <patternFill patternType="solid">
        <fgColor rgb="FF00FFFF"/>
        <bgColor rgb="FF00FFFF"/>
      </patternFill>
    </fill>
    <fill>
      <patternFill patternType="solid">
        <fgColor rgb="FFF5F5F5"/>
        <bgColor rgb="FFF5F5F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5">
    <xf numFmtId="0" fontId="0" fillId="0" borderId="0" xfId="0" applyFont="1" applyAlignment="1"/>
    <xf numFmtId="0" fontId="1" fillId="2" borderId="1" xfId="0" applyFont="1" applyFill="1" applyBorder="1" applyAlignment="1">
      <alignment horizontal="left" vertical="center"/>
    </xf>
    <xf numFmtId="0" fontId="1" fillId="0" borderId="1"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3" fillId="2" borderId="1" xfId="0" applyFont="1" applyFill="1" applyBorder="1" applyAlignment="1">
      <alignment horizontal="left" vertical="center"/>
    </xf>
    <xf numFmtId="0" fontId="3" fillId="0" borderId="1" xfId="0" applyFont="1" applyBorder="1" applyAlignment="1">
      <alignment horizontal="left" vertical="center"/>
    </xf>
    <xf numFmtId="0" fontId="2" fillId="0" borderId="0" xfId="0" applyFont="1" applyAlignment="1">
      <alignment horizontal="left" vertical="center"/>
    </xf>
    <xf numFmtId="0" fontId="2" fillId="2" borderId="1" xfId="0" applyFont="1" applyFill="1" applyBorder="1" applyAlignment="1">
      <alignment horizontal="left" vertical="center"/>
    </xf>
    <xf numFmtId="0" fontId="2" fillId="0" borderId="1" xfId="0" applyFont="1" applyBorder="1" applyAlignment="1">
      <alignment horizontal="left" vertical="center"/>
    </xf>
    <xf numFmtId="0" fontId="4" fillId="0" borderId="0" xfId="0" applyFont="1" applyAlignment="1">
      <alignment horizontal="left"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xf>
    <xf numFmtId="0" fontId="5" fillId="0" borderId="1" xfId="0" applyFont="1" applyBorder="1" applyAlignment="1">
      <alignment horizontal="left" vertical="center"/>
    </xf>
    <xf numFmtId="0" fontId="6" fillId="0" borderId="0" xfId="0" applyFont="1" applyAlignment="1">
      <alignment horizontal="left" vertical="center"/>
    </xf>
    <xf numFmtId="0" fontId="7" fillId="0" borderId="0" xfId="0" applyFont="1"/>
    <xf numFmtId="0" fontId="7" fillId="0" borderId="0" xfId="0" applyFont="1" applyAlignment="1"/>
    <xf numFmtId="0" fontId="7" fillId="3" borderId="0" xfId="0" applyFont="1" applyFill="1"/>
    <xf numFmtId="0" fontId="7" fillId="4" borderId="0" xfId="0" applyFont="1" applyFill="1"/>
    <xf numFmtId="49" fontId="7" fillId="4" borderId="0" xfId="0" applyNumberFormat="1" applyFont="1" applyFill="1"/>
    <xf numFmtId="49" fontId="7" fillId="3" borderId="0" xfId="0" applyNumberFormat="1" applyFont="1" applyFill="1"/>
    <xf numFmtId="0" fontId="7" fillId="3" borderId="0" xfId="0" applyFont="1" applyFill="1" applyAlignment="1"/>
    <xf numFmtId="0" fontId="7" fillId="3" borderId="0" xfId="0" applyFont="1" applyFill="1"/>
    <xf numFmtId="0" fontId="7" fillId="0" borderId="0" xfId="0" applyFont="1" applyAlignment="1"/>
    <xf numFmtId="0" fontId="7" fillId="0" borderId="0" xfId="0" applyFont="1" applyAlignment="1"/>
    <xf numFmtId="0" fontId="7" fillId="0" borderId="0" xfId="0" applyFont="1" applyAlignment="1"/>
    <xf numFmtId="0" fontId="7" fillId="3" borderId="0" xfId="0" applyFont="1" applyFill="1" applyAlignment="1"/>
    <xf numFmtId="0" fontId="7" fillId="5" borderId="0" xfId="0" applyFont="1" applyFill="1" applyAlignment="1"/>
    <xf numFmtId="0" fontId="7" fillId="6" borderId="0" xfId="0" applyFont="1" applyFill="1" applyAlignment="1">
      <alignment wrapText="1"/>
    </xf>
    <xf numFmtId="0" fontId="7" fillId="2" borderId="0" xfId="0" applyFont="1" applyFill="1" applyAlignment="1">
      <alignment wrapText="1"/>
    </xf>
    <xf numFmtId="0" fontId="7" fillId="7" borderId="0" xfId="0" applyFont="1" applyFill="1" applyAlignment="1"/>
    <xf numFmtId="49" fontId="7" fillId="7" borderId="0" xfId="0" applyNumberFormat="1" applyFont="1" applyFill="1" applyAlignment="1"/>
    <xf numFmtId="0" fontId="7" fillId="0" borderId="0" xfId="0" applyFont="1" applyAlignment="1"/>
    <xf numFmtId="49" fontId="7" fillId="0" borderId="0" xfId="0" applyNumberFormat="1" applyFont="1" applyAlignment="1"/>
    <xf numFmtId="49" fontId="8" fillId="0" borderId="0" xfId="0" applyNumberFormat="1" applyFont="1" applyAlignment="1"/>
    <xf numFmtId="0" fontId="9" fillId="0" borderId="0" xfId="0" applyFont="1" applyAlignment="1"/>
    <xf numFmtId="0" fontId="7" fillId="5" borderId="0" xfId="0" applyFont="1" applyFill="1" applyAlignment="1"/>
    <xf numFmtId="0" fontId="7" fillId="7" borderId="0" xfId="0" applyFont="1" applyFill="1" applyAlignment="1"/>
    <xf numFmtId="0" fontId="7" fillId="0" borderId="0" xfId="0" applyFont="1" applyAlignment="1">
      <alignment vertical="top"/>
    </xf>
    <xf numFmtId="0" fontId="7" fillId="0" borderId="0" xfId="0" applyFont="1" applyAlignment="1"/>
    <xf numFmtId="0" fontId="7" fillId="8" borderId="0" xfId="0" applyFont="1" applyFill="1" applyAlignment="1"/>
    <xf numFmtId="0" fontId="7" fillId="3" borderId="0" xfId="0" applyFont="1" applyFill="1" applyAlignment="1"/>
    <xf numFmtId="49" fontId="7" fillId="8" borderId="0" xfId="0" applyNumberFormat="1" applyFont="1" applyFill="1" applyAlignment="1"/>
    <xf numFmtId="0" fontId="7" fillId="0" borderId="0" xfId="0" applyFont="1" applyAlignment="1">
      <alignment vertical="top"/>
    </xf>
    <xf numFmtId="49" fontId="7" fillId="0" borderId="0" xfId="0" applyNumberFormat="1" applyFont="1" applyAlignment="1"/>
    <xf numFmtId="0" fontId="7" fillId="8" borderId="0" xfId="0" applyFont="1" applyFill="1"/>
    <xf numFmtId="0" fontId="7" fillId="0" borderId="0" xfId="0" applyFont="1"/>
    <xf numFmtId="0" fontId="7" fillId="7" borderId="0" xfId="0" applyFont="1" applyFill="1" applyAlignment="1">
      <alignment wrapText="1"/>
    </xf>
    <xf numFmtId="0" fontId="7" fillId="7" borderId="0" xfId="0" applyFont="1" applyFill="1" applyAlignment="1"/>
    <xf numFmtId="0" fontId="7" fillId="7" borderId="0" xfId="0" applyFont="1" applyFill="1" applyAlignment="1"/>
    <xf numFmtId="0" fontId="7" fillId="0" borderId="0" xfId="0" applyFont="1" applyAlignment="1">
      <alignment vertical="top"/>
    </xf>
    <xf numFmtId="0" fontId="10" fillId="0" borderId="0" xfId="0" applyFont="1" applyAlignment="1"/>
    <xf numFmtId="0" fontId="7" fillId="8" borderId="0" xfId="0" applyFont="1" applyFill="1" applyAlignment="1"/>
    <xf numFmtId="49" fontId="7" fillId="8" borderId="0" xfId="0" applyNumberFormat="1" applyFont="1" applyFill="1" applyAlignment="1"/>
    <xf numFmtId="0" fontId="11" fillId="0" borderId="0" xfId="0" applyFont="1" applyAlignment="1"/>
    <xf numFmtId="0" fontId="7" fillId="8" borderId="0" xfId="0" applyFont="1" applyFill="1" applyAlignment="1">
      <alignment vertical="top"/>
    </xf>
    <xf numFmtId="0" fontId="7" fillId="0" borderId="0" xfId="0" applyFont="1" applyAlignment="1">
      <alignment vertical="top"/>
    </xf>
    <xf numFmtId="0" fontId="12" fillId="0" borderId="0" xfId="0" applyFont="1" applyAlignment="1">
      <alignment vertical="top"/>
    </xf>
    <xf numFmtId="0" fontId="7" fillId="0" borderId="0" xfId="0" applyFont="1" applyAlignment="1">
      <alignment horizontal="left" vertical="top"/>
    </xf>
    <xf numFmtId="0" fontId="7" fillId="0" borderId="0" xfId="0" applyFont="1" applyAlignment="1">
      <alignment horizontal="left" vertical="top"/>
    </xf>
    <xf numFmtId="0" fontId="7" fillId="7" borderId="0" xfId="0" applyFont="1" applyFill="1" applyAlignment="1">
      <alignment vertical="top"/>
    </xf>
    <xf numFmtId="0" fontId="7" fillId="0" borderId="0" xfId="0" applyFont="1" applyAlignment="1"/>
    <xf numFmtId="0" fontId="7" fillId="8" borderId="0" xfId="0" applyFont="1" applyFill="1" applyAlignment="1">
      <alignment vertical="top"/>
    </xf>
    <xf numFmtId="0" fontId="7" fillId="0" borderId="0" xfId="0" applyFont="1" applyAlignment="1">
      <alignment vertical="top"/>
    </xf>
    <xf numFmtId="0" fontId="7" fillId="0" borderId="0" xfId="0" applyFont="1" applyAlignment="1"/>
    <xf numFmtId="0" fontId="7" fillId="0" borderId="0" xfId="0" applyFont="1" applyAlignment="1">
      <alignment vertical="top"/>
    </xf>
    <xf numFmtId="0" fontId="7" fillId="8" borderId="0" xfId="0" applyFont="1" applyFill="1" applyAlignment="1">
      <alignment wrapText="1"/>
    </xf>
    <xf numFmtId="0" fontId="7" fillId="8" borderId="0" xfId="0" applyFont="1" applyFill="1" applyAlignment="1"/>
    <xf numFmtId="0" fontId="7" fillId="8" borderId="0" xfId="0" applyFont="1" applyFill="1" applyAlignment="1"/>
    <xf numFmtId="0" fontId="7" fillId="9" borderId="0" xfId="0" applyFont="1" applyFill="1" applyAlignment="1"/>
    <xf numFmtId="0" fontId="7" fillId="7" borderId="0" xfId="0" applyFont="1" applyFill="1" applyAlignment="1">
      <alignment vertical="top"/>
    </xf>
    <xf numFmtId="0" fontId="7" fillId="7" borderId="0" xfId="0" applyFont="1" applyFill="1" applyAlignment="1">
      <alignment wrapText="1"/>
    </xf>
    <xf numFmtId="0" fontId="7" fillId="7" borderId="0" xfId="0" applyFont="1" applyFill="1" applyAlignment="1">
      <alignment horizontal="center"/>
    </xf>
    <xf numFmtId="0" fontId="7" fillId="0" borderId="0" xfId="0" applyFont="1" applyAlignment="1"/>
    <xf numFmtId="0" fontId="7" fillId="3" borderId="0" xfId="0" applyFont="1" applyFill="1" applyAlignment="1">
      <alignment vertical="top"/>
    </xf>
    <xf numFmtId="49" fontId="7" fillId="0" borderId="0" xfId="0" applyNumberFormat="1" applyFont="1" applyAlignment="1"/>
    <xf numFmtId="49" fontId="13" fillId="0" borderId="0" xfId="0" applyNumberFormat="1" applyFont="1" applyAlignment="1"/>
    <xf numFmtId="49" fontId="7" fillId="7" borderId="0" xfId="0" applyNumberFormat="1" applyFont="1" applyFill="1" applyAlignment="1"/>
    <xf numFmtId="0" fontId="7" fillId="0" borderId="0" xfId="0" quotePrefix="1" applyFont="1" applyAlignment="1"/>
    <xf numFmtId="0" fontId="14" fillId="0" borderId="0" xfId="0" applyFont="1" applyAlignment="1"/>
    <xf numFmtId="0" fontId="7" fillId="7" borderId="0" xfId="0" applyFont="1" applyFill="1" applyAlignment="1">
      <alignment vertical="top"/>
    </xf>
    <xf numFmtId="49" fontId="7" fillId="0" borderId="0" xfId="0" applyNumberFormat="1" applyFont="1" applyAlignment="1"/>
    <xf numFmtId="49" fontId="15" fillId="0" borderId="0" xfId="0" applyNumberFormat="1" applyFont="1" applyAlignment="1"/>
    <xf numFmtId="49" fontId="16" fillId="0" borderId="0" xfId="0" applyNumberFormat="1" applyFont="1" applyAlignment="1"/>
    <xf numFmtId="0" fontId="17" fillId="0" borderId="0" xfId="0" applyFont="1"/>
    <xf numFmtId="49" fontId="18" fillId="0" borderId="0" xfId="0" applyNumberFormat="1" applyFont="1" applyAlignment="1"/>
    <xf numFmtId="0" fontId="7" fillId="0" borderId="1" xfId="0" applyFont="1" applyBorder="1" applyAlignment="1">
      <alignment horizontal="left" wrapText="1"/>
    </xf>
    <xf numFmtId="0" fontId="7" fillId="0" borderId="1" xfId="0" applyFont="1" applyBorder="1" applyAlignment="1">
      <alignment horizontal="left" wrapText="1"/>
    </xf>
    <xf numFmtId="0" fontId="7" fillId="0" borderId="1" xfId="0" applyFont="1" applyBorder="1" applyAlignment="1">
      <alignment horizontal="left"/>
    </xf>
    <xf numFmtId="0" fontId="7" fillId="5" borderId="0" xfId="0" applyFont="1" applyFill="1"/>
    <xf numFmtId="0" fontId="7" fillId="7" borderId="0" xfId="0" applyFont="1" applyFill="1" applyAlignment="1">
      <alignment horizontal="left"/>
    </xf>
    <xf numFmtId="49" fontId="7" fillId="0" borderId="0" xfId="0" applyNumberFormat="1" applyFont="1"/>
    <xf numFmtId="0" fontId="7" fillId="7" borderId="0" xfId="0" applyFont="1" applyFill="1"/>
    <xf numFmtId="0" fontId="7" fillId="4" borderId="0" xfId="0" applyFont="1" applyFill="1" applyAlignment="1">
      <alignment wrapText="1"/>
    </xf>
    <xf numFmtId="0" fontId="19" fillId="0" borderId="0" xfId="0" applyFont="1" applyAlignment="1">
      <alignment horizontal="left"/>
    </xf>
    <xf numFmtId="0" fontId="7" fillId="0" borderId="0" xfId="0" applyFont="1" applyAlignment="1"/>
    <xf numFmtId="0" fontId="3" fillId="0" borderId="0" xfId="0" applyFont="1" applyAlignment="1"/>
    <xf numFmtId="0" fontId="7" fillId="0" borderId="1" xfId="0" applyFont="1" applyBorder="1" applyAlignment="1"/>
    <xf numFmtId="0" fontId="7" fillId="8" borderId="0" xfId="0" applyFont="1" applyFill="1" applyAlignment="1">
      <alignment wrapText="1"/>
    </xf>
    <xf numFmtId="0" fontId="20" fillId="0" borderId="0" xfId="0" applyFont="1" applyAlignment="1"/>
    <xf numFmtId="0" fontId="7" fillId="3" borderId="0" xfId="0" applyFont="1" applyFill="1" applyAlignment="1"/>
    <xf numFmtId="0" fontId="7" fillId="0" borderId="0" xfId="0" applyFont="1" applyAlignment="1"/>
    <xf numFmtId="0" fontId="7" fillId="0" borderId="0" xfId="0" applyFont="1" applyAlignment="1">
      <alignment vertical="top"/>
    </xf>
    <xf numFmtId="0" fontId="21" fillId="0" borderId="0" xfId="0" applyFont="1" applyAlignment="1">
      <alignment vertical="top"/>
    </xf>
    <xf numFmtId="0" fontId="22" fillId="0" borderId="0" xfId="0" applyFont="1" applyAlignment="1"/>
    <xf numFmtId="49" fontId="7" fillId="0" borderId="1" xfId="0" applyNumberFormat="1" applyFont="1" applyBorder="1" applyAlignment="1"/>
    <xf numFmtId="0" fontId="7" fillId="8" borderId="1" xfId="0" applyFont="1" applyFill="1" applyBorder="1" applyAlignment="1"/>
    <xf numFmtId="49" fontId="7" fillId="0" borderId="0" xfId="0" quotePrefix="1" applyNumberFormat="1" applyFont="1" applyAlignment="1"/>
    <xf numFmtId="0" fontId="7" fillId="3" borderId="0" xfId="0" applyFont="1" applyFill="1" applyAlignment="1">
      <alignment vertical="top"/>
    </xf>
    <xf numFmtId="0" fontId="7" fillId="0" borderId="0" xfId="0" applyFont="1" applyAlignment="1">
      <alignment vertical="center" wrapText="1"/>
    </xf>
    <xf numFmtId="0" fontId="7" fillId="7" borderId="0" xfId="0" applyFont="1" applyFill="1" applyAlignment="1">
      <alignment vertical="center" wrapText="1"/>
    </xf>
    <xf numFmtId="0" fontId="7" fillId="10" borderId="0" xfId="0" applyFont="1" applyFill="1" applyAlignment="1">
      <alignment wrapText="1"/>
    </xf>
    <xf numFmtId="0" fontId="7" fillId="0" borderId="0" xfId="0" applyFont="1" applyAlignment="1">
      <alignment horizontal="left"/>
    </xf>
    <xf numFmtId="0" fontId="7" fillId="0" borderId="0" xfId="0" applyFont="1"/>
    <xf numFmtId="0" fontId="7" fillId="0" borderId="1" xfId="0" applyFont="1" applyBorder="1" applyAlignment="1">
      <alignment vertical="center" wrapText="1"/>
    </xf>
    <xf numFmtId="0" fontId="23" fillId="0" borderId="0" xfId="0" applyFont="1" applyAlignment="1"/>
    <xf numFmtId="0" fontId="7" fillId="0" borderId="0" xfId="0" applyFont="1" applyAlignment="1"/>
    <xf numFmtId="0" fontId="7" fillId="7" borderId="0" xfId="0" applyFont="1" applyFill="1" applyAlignment="1">
      <alignment horizontal="left"/>
    </xf>
    <xf numFmtId="49" fontId="7" fillId="7" borderId="0" xfId="0" applyNumberFormat="1" applyFont="1" applyFill="1" applyAlignment="1"/>
    <xf numFmtId="49" fontId="7" fillId="11" borderId="0" xfId="0" applyNumberFormat="1" applyFont="1" applyFill="1" applyAlignment="1"/>
    <xf numFmtId="0" fontId="7" fillId="9" borderId="0" xfId="0" applyFont="1" applyFill="1" applyAlignment="1"/>
    <xf numFmtId="0" fontId="7" fillId="9" borderId="0" xfId="0" applyFont="1" applyFill="1" applyAlignment="1">
      <alignment wrapText="1"/>
    </xf>
    <xf numFmtId="0" fontId="7" fillId="9" borderId="0" xfId="0" applyFont="1" applyFill="1" applyAlignment="1">
      <alignment wrapText="1"/>
    </xf>
    <xf numFmtId="0" fontId="7" fillId="9" borderId="0" xfId="0" applyFont="1" applyFill="1" applyAlignment="1"/>
    <xf numFmtId="49" fontId="7" fillId="9" borderId="0" xfId="0" applyNumberFormat="1" applyFont="1" applyFill="1" applyAlignment="1"/>
    <xf numFmtId="0" fontId="7" fillId="9" borderId="0" xfId="0" applyFont="1" applyFill="1" applyAlignment="1">
      <alignment vertical="top"/>
    </xf>
    <xf numFmtId="0" fontId="24" fillId="9" borderId="0" xfId="0" applyFont="1" applyFill="1" applyAlignment="1"/>
    <xf numFmtId="49" fontId="7" fillId="9" borderId="0" xfId="0" applyNumberFormat="1" applyFont="1" applyFill="1" applyAlignment="1"/>
    <xf numFmtId="49" fontId="7" fillId="9" borderId="0" xfId="0" applyNumberFormat="1" applyFont="1" applyFill="1" applyAlignment="1"/>
    <xf numFmtId="0" fontId="7" fillId="9" borderId="0" xfId="0" applyFont="1" applyFill="1" applyAlignment="1"/>
    <xf numFmtId="0" fontId="25" fillId="9" borderId="0" xfId="0" applyFont="1" applyFill="1" applyAlignment="1">
      <alignment horizontal="left"/>
    </xf>
    <xf numFmtId="0" fontId="7" fillId="9" borderId="0" xfId="0" applyFont="1" applyFill="1" applyAlignment="1">
      <alignment vertical="top"/>
    </xf>
    <xf numFmtId="0" fontId="7" fillId="9" borderId="0" xfId="0" applyFont="1" applyFill="1"/>
    <xf numFmtId="0" fontId="7" fillId="0" borderId="0" xfId="0" applyFont="1" applyAlignment="1">
      <alignment wrapText="1"/>
    </xf>
    <xf numFmtId="49" fontId="7" fillId="0" borderId="0" xfId="0" applyNumberFormat="1" applyFont="1" applyAlignment="1"/>
    <xf numFmtId="0" fontId="7" fillId="0" borderId="0" xfId="0" applyFont="1" applyAlignment="1">
      <alignment wrapText="1"/>
    </xf>
    <xf numFmtId="0" fontId="7" fillId="0" borderId="0" xfId="0" applyFont="1" applyAlignment="1">
      <alignment wrapText="1"/>
    </xf>
    <xf numFmtId="0" fontId="7" fillId="0" borderId="0" xfId="0" applyFont="1" applyAlignment="1"/>
    <xf numFmtId="0" fontId="7" fillId="4" borderId="0" xfId="0" applyFont="1" applyFill="1" applyAlignment="1"/>
    <xf numFmtId="0" fontId="7" fillId="0" borderId="0" xfId="0" applyFont="1" applyAlignment="1"/>
    <xf numFmtId="0" fontId="7" fillId="0" borderId="0" xfId="0" applyFont="1" applyAlignment="1"/>
    <xf numFmtId="0" fontId="7" fillId="4" borderId="0" xfId="0" applyFont="1" applyFill="1" applyAlignment="1">
      <alignment wrapText="1"/>
    </xf>
    <xf numFmtId="0" fontId="7" fillId="7" borderId="0" xfId="0" applyFont="1" applyFill="1" applyAlignment="1">
      <alignment wrapText="1"/>
    </xf>
    <xf numFmtId="0" fontId="26" fillId="6" borderId="0" xfId="0" applyFont="1" applyFill="1" applyAlignment="1"/>
    <xf numFmtId="0" fontId="2" fillId="0" borderId="0" xfId="0" applyFont="1" applyAlignment="1"/>
    <xf numFmtId="0" fontId="26" fillId="6" borderId="0" xfId="0" applyFont="1" applyFill="1" applyAlignment="1"/>
    <xf numFmtId="0" fontId="26" fillId="6" borderId="0" xfId="0" applyFont="1" applyFill="1" applyAlignment="1">
      <alignment wrapText="1"/>
    </xf>
    <xf numFmtId="0" fontId="2" fillId="0" borderId="0" xfId="0" applyFont="1" applyAlignment="1"/>
    <xf numFmtId="164" fontId="2" fillId="0" borderId="0" xfId="0" applyNumberFormat="1" applyFont="1" applyAlignment="1">
      <alignment horizontal="right"/>
    </xf>
    <xf numFmtId="0" fontId="2" fillId="0" borderId="0" xfId="0" applyFont="1" applyAlignment="1">
      <alignment horizontal="right"/>
    </xf>
    <xf numFmtId="0" fontId="3" fillId="0" borderId="0" xfId="0" applyFont="1" applyAlignment="1"/>
    <xf numFmtId="164" fontId="3" fillId="0" borderId="0" xfId="0" applyNumberFormat="1" applyFont="1" applyAlignment="1"/>
  </cellXfs>
  <cellStyles count="1">
    <cellStyle name="Normal" xfId="0" builtinId="0"/>
  </cellStyles>
  <dxfs count="33">
    <dxf>
      <fill>
        <patternFill patternType="solid">
          <fgColor rgb="FFF4CCCC"/>
          <bgColor rgb="FFF4CCCC"/>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8">
    <tableStyle name="BizCards-style" pivot="0" count="4" xr9:uid="{00000000-0011-0000-FFFF-FFFF00000000}">
      <tableStyleElement type="wholeTable" size="0" dxfId="29"/>
      <tableStyleElement type="headerRow" dxfId="32"/>
      <tableStyleElement type="firstRowStripe" dxfId="31"/>
      <tableStyleElement type="secondRowStripe" dxfId="30"/>
    </tableStyle>
    <tableStyle name="260321-Gala-style" pivot="0" count="4" xr9:uid="{00000000-0011-0000-FFFF-FFFF01000000}">
      <tableStyleElement type="wholeTable" size="0" dxfId="25"/>
      <tableStyleElement type="headerRow" dxfId="28"/>
      <tableStyleElement type="firstRowStripe" dxfId="27"/>
      <tableStyleElement type="secondRowStripe" dxfId="26"/>
    </tableStyle>
    <tableStyle name="Copy of 260321-TrungBayHoiCho-style" pivot="0" count="4" xr9:uid="{00000000-0011-0000-FFFF-FFFF02000000}">
      <tableStyleElement type="wholeTable" size="0" dxfId="21"/>
      <tableStyleElement type="headerRow" dxfId="24"/>
      <tableStyleElement type="firstRowStripe" dxfId="23"/>
      <tableStyleElement type="secondRowStripe" dxfId="22"/>
    </tableStyle>
    <tableStyle name="Copy of Form Responses 1-style" pivot="0" count="4" xr9:uid="{00000000-0011-0000-FFFF-FFFF03000000}">
      <tableStyleElement type="wholeTable" size="0" dxfId="17"/>
      <tableStyleElement type="headerRow" dxfId="20"/>
      <tableStyleElement type="firstRowStripe" dxfId="19"/>
      <tableStyleElement type="secondRowStripe" dxfId="18"/>
    </tableStyle>
    <tableStyle name="03082025-style" pivot="0" count="4" xr9:uid="{00000000-0011-0000-FFFF-FFFF04000000}">
      <tableStyleElement type="wholeTable" size="0" dxfId="13"/>
      <tableStyleElement type="headerRow" dxfId="16"/>
      <tableStyleElement type="firstRowStripe" dxfId="15"/>
      <tableStyleElement type="secondRowStripe" dxfId="14"/>
    </tableStyle>
    <tableStyle name="03082025-style 2" pivot="0" count="4" xr9:uid="{00000000-0011-0000-FFFF-FFFF05000000}">
      <tableStyleElement type="wholeTable" size="0" dxfId="9"/>
      <tableStyleElement type="headerRow" dxfId="12"/>
      <tableStyleElement type="firstRowStripe" dxfId="11"/>
      <tableStyleElement type="secondRowStripe" dxfId="10"/>
    </tableStyle>
    <tableStyle name="FastCheckin_20250803-style" pivot="0" count="4" xr9:uid="{00000000-0011-0000-FFFF-FFFF06000000}">
      <tableStyleElement type="wholeTable" size="0" dxfId="5"/>
      <tableStyleElement type="headerRow" dxfId="8"/>
      <tableStyleElement type="firstRowStripe" dxfId="7"/>
      <tableStyleElement type="secondRowStripe" dxfId="6"/>
    </tableStyle>
    <tableStyle name="FastCheckin_20251011-style" pivot="0" count="4" xr9:uid="{00000000-0011-0000-FFFF-FFFF07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embed/lDcho0_T1t4?si=p15MUVGVKzCsHIWQ" TargetMode="External"/><Relationship Id="rId3" Type="http://schemas.openxmlformats.org/officeDocument/2006/relationships/hyperlink" Target="https://www.youtube.com/embed/AazhHUSacKM?si=DyutBUT3SiGligPL" TargetMode="External"/><Relationship Id="rId7" Type="http://schemas.openxmlformats.org/officeDocument/2006/relationships/hyperlink" Target="https://www.youtube.com/embed/KgsISDezYZo?si=1pl9kN3YTot1SSCZ" TargetMode="External"/><Relationship Id="rId2" Type="http://schemas.openxmlformats.org/officeDocument/2006/relationships/hyperlink" Target="https://www.youtube.com/embed/k8m0SaGQ_1c?si=JQv6cXfoy1BQeaOF" TargetMode="External"/><Relationship Id="rId1" Type="http://schemas.openxmlformats.org/officeDocument/2006/relationships/hyperlink" Target="https://www.youtube.com/embed/lDcho0_T1t4?si=p15MUVGVKzCsHIWQ" TargetMode="External"/><Relationship Id="rId6" Type="http://schemas.openxmlformats.org/officeDocument/2006/relationships/hyperlink" Target="https://www.youtube.com/embed/ejSyzR3zcIY?si=ayMqfld3DS-s88j4" TargetMode="External"/><Relationship Id="rId5" Type="http://schemas.openxmlformats.org/officeDocument/2006/relationships/hyperlink" Target="https://www.youtube.com/embed/MWTPKYbB4WM?si=qMbbLrjLwZ6AakxU" TargetMode="External"/><Relationship Id="rId4" Type="http://schemas.openxmlformats.org/officeDocument/2006/relationships/hyperlink" Target="https://www.youtube.com/embed/od1RqQ8N4PI?si=js9CGwR0SVdUkeLR"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hathyo.com/product" TargetMode="External"/><Relationship Id="rId21" Type="http://schemas.openxmlformats.org/officeDocument/2006/relationships/hyperlink" Target="mailto:duonglaibtm@gmail.com" TargetMode="External"/><Relationship Id="rId42" Type="http://schemas.openxmlformats.org/officeDocument/2006/relationships/hyperlink" Target="https://www.vietcombank.com.vn/" TargetMode="External"/><Relationship Id="rId63" Type="http://schemas.openxmlformats.org/officeDocument/2006/relationships/hyperlink" Target="https://www.facebook.com/ThienPhatTien" TargetMode="External"/><Relationship Id="rId84" Type="http://schemas.openxmlformats.org/officeDocument/2006/relationships/hyperlink" Target="https://hathyo.com/product" TargetMode="External"/><Relationship Id="rId138" Type="http://schemas.openxmlformats.org/officeDocument/2006/relationships/hyperlink" Target="https://forganic.vn/" TargetMode="External"/><Relationship Id="rId159" Type="http://schemas.openxmlformats.org/officeDocument/2006/relationships/hyperlink" Target="https://hathyo.com/product" TargetMode="External"/><Relationship Id="rId170" Type="http://schemas.openxmlformats.org/officeDocument/2006/relationships/hyperlink" Target="https://qtbc.vn/m?c=A095" TargetMode="External"/><Relationship Id="rId107" Type="http://schemas.openxmlformats.org/officeDocument/2006/relationships/hyperlink" Target="https://nguyenhoangaqua.vn/Upload/Logo/2024/05/04/07/34/09/logo-2024-png-1.png" TargetMode="External"/><Relationship Id="rId11" Type="http://schemas.openxmlformats.org/officeDocument/2006/relationships/hyperlink" Target="https://www.facebook.com/sang.le.minh.1983" TargetMode="External"/><Relationship Id="rId32" Type="http://schemas.openxmlformats.org/officeDocument/2006/relationships/hyperlink" Target="https://www.gfg.com.vn/" TargetMode="External"/><Relationship Id="rId53" Type="http://schemas.openxmlformats.org/officeDocument/2006/relationships/hyperlink" Target="https://tonsky.vn/" TargetMode="External"/><Relationship Id="rId74" Type="http://schemas.openxmlformats.org/officeDocument/2006/relationships/hyperlink" Target="https://thucphamthienbao.com/" TargetMode="External"/><Relationship Id="rId128" Type="http://schemas.openxmlformats.org/officeDocument/2006/relationships/hyperlink" Target="https://heligift.com/" TargetMode="External"/><Relationship Id="rId149" Type="http://schemas.openxmlformats.org/officeDocument/2006/relationships/hyperlink" Target="https://hathyo.com/product" TargetMode="External"/><Relationship Id="rId5" Type="http://schemas.openxmlformats.org/officeDocument/2006/relationships/hyperlink" Target="https://fb.com/hathyoVN" TargetMode="External"/><Relationship Id="rId95" Type="http://schemas.openxmlformats.org/officeDocument/2006/relationships/hyperlink" Target="https://mic.vn/Uploads/Logo%20MIC/logo%20mic.png" TargetMode="External"/><Relationship Id="rId160" Type="http://schemas.openxmlformats.org/officeDocument/2006/relationships/hyperlink" Target="https://qtbc.vn/m?c=A095" TargetMode="External"/><Relationship Id="rId181" Type="http://schemas.openxmlformats.org/officeDocument/2006/relationships/hyperlink" Target="https://www.facebook.com/nguyentiendatmt" TargetMode="External"/><Relationship Id="rId22" Type="http://schemas.openxmlformats.org/officeDocument/2006/relationships/hyperlink" Target="http://zalo.me/0776682786" TargetMode="External"/><Relationship Id="rId43" Type="http://schemas.openxmlformats.org/officeDocument/2006/relationships/hyperlink" Target="https://maps.app.goo.gl/sgmrNXD3inSMHgjB8" TargetMode="External"/><Relationship Id="rId64" Type="http://schemas.openxmlformats.org/officeDocument/2006/relationships/hyperlink" Target="https://www.linkedin.com/in/thanhnd198/" TargetMode="External"/><Relationship Id="rId118" Type="http://schemas.openxmlformats.org/officeDocument/2006/relationships/hyperlink" Target="https://huongtrangbooks.com/" TargetMode="External"/><Relationship Id="rId139" Type="http://schemas.openxmlformats.org/officeDocument/2006/relationships/hyperlink" Target="https://hathyo.com/product" TargetMode="External"/><Relationship Id="rId85" Type="http://schemas.openxmlformats.org/officeDocument/2006/relationships/hyperlink" Target="http://www.tripa.vn/" TargetMode="External"/><Relationship Id="rId150" Type="http://schemas.openxmlformats.org/officeDocument/2006/relationships/hyperlink" Target="https://linhkienats.com/" TargetMode="External"/><Relationship Id="rId171" Type="http://schemas.openxmlformats.org/officeDocument/2006/relationships/hyperlink" Target="https://hathyo.com/product" TargetMode="External"/><Relationship Id="rId12" Type="http://schemas.openxmlformats.org/officeDocument/2006/relationships/hyperlink" Target="https://maps.app.goo.gl/9ACTQuiBqkRqDt617" TargetMode="External"/><Relationship Id="rId33" Type="http://schemas.openxmlformats.org/officeDocument/2006/relationships/hyperlink" Target="https://www.facebook.com/info.gfg/" TargetMode="External"/><Relationship Id="rId108" Type="http://schemas.openxmlformats.org/officeDocument/2006/relationships/hyperlink" Target="https://nguyenhoangaqua.vn/" TargetMode="External"/><Relationship Id="rId129" Type="http://schemas.openxmlformats.org/officeDocument/2006/relationships/hyperlink" Target="https://hathyo.com/product" TargetMode="External"/><Relationship Id="rId54" Type="http://schemas.openxmlformats.org/officeDocument/2006/relationships/hyperlink" Target="http://cokhihungthinh.vn/" TargetMode="External"/><Relationship Id="rId75" Type="http://schemas.openxmlformats.org/officeDocument/2006/relationships/hyperlink" Target="https://www.facebook.com/thucphamsachthienbao" TargetMode="External"/><Relationship Id="rId96" Type="http://schemas.openxmlformats.org/officeDocument/2006/relationships/hyperlink" Target="https://mic.vn/" TargetMode="External"/><Relationship Id="rId140" Type="http://schemas.openxmlformats.org/officeDocument/2006/relationships/hyperlink" Target="http://forganic.vn/" TargetMode="External"/><Relationship Id="rId161" Type="http://schemas.openxmlformats.org/officeDocument/2006/relationships/hyperlink" Target="http://catthinhpool.com.vn/" TargetMode="External"/><Relationship Id="rId6" Type="http://schemas.openxmlformats.org/officeDocument/2006/relationships/hyperlink" Target="https://fb.com/vietquangvitic" TargetMode="External"/><Relationship Id="rId23" Type="http://schemas.openxmlformats.org/officeDocument/2006/relationships/hyperlink" Target="https://www.successnetwork.vn/" TargetMode="External"/><Relationship Id="rId119" Type="http://schemas.openxmlformats.org/officeDocument/2006/relationships/hyperlink" Target="https://hathyo.com/product" TargetMode="External"/><Relationship Id="rId44" Type="http://schemas.openxmlformats.org/officeDocument/2006/relationships/hyperlink" Target="https://www.facebook.com/LinhSan335555" TargetMode="External"/><Relationship Id="rId60" Type="http://schemas.openxmlformats.org/officeDocument/2006/relationships/hyperlink" Target="https://thepsata.com.vn/" TargetMode="External"/><Relationship Id="rId65" Type="http://schemas.openxmlformats.org/officeDocument/2006/relationships/hyperlink" Target="https://hathyo.com/product" TargetMode="External"/><Relationship Id="rId81" Type="http://schemas.openxmlformats.org/officeDocument/2006/relationships/hyperlink" Target="https://hathyo.com/product" TargetMode="External"/><Relationship Id="rId86" Type="http://schemas.openxmlformats.org/officeDocument/2006/relationships/hyperlink" Target="https://vemaybaytransworld.com/upload/hinhanh/h_logo-3113.png" TargetMode="External"/><Relationship Id="rId130" Type="http://schemas.openxmlformats.org/officeDocument/2006/relationships/hyperlink" Target="http://heligift.com/" TargetMode="External"/><Relationship Id="rId135" Type="http://schemas.openxmlformats.org/officeDocument/2006/relationships/hyperlink" Target="http://sagocapitaltech.com/" TargetMode="External"/><Relationship Id="rId151" Type="http://schemas.openxmlformats.org/officeDocument/2006/relationships/hyperlink" Target="https://hathyo.com/product" TargetMode="External"/><Relationship Id="rId156" Type="http://schemas.openxmlformats.org/officeDocument/2006/relationships/hyperlink" Target="http://banhcanhcaloctran.com/" TargetMode="External"/><Relationship Id="rId177" Type="http://schemas.openxmlformats.org/officeDocument/2006/relationships/hyperlink" Target="https://www.facebook.com/share/1AqAy85Jwa" TargetMode="External"/><Relationship Id="rId172" Type="http://schemas.openxmlformats.org/officeDocument/2006/relationships/hyperlink" Target="https://fb.com/hieu.nguyenthanh.718" TargetMode="External"/><Relationship Id="rId13" Type="http://schemas.openxmlformats.org/officeDocument/2006/relationships/hyperlink" Target="https://www.facebook.com/phu.tongquang" TargetMode="External"/><Relationship Id="rId18" Type="http://schemas.openxmlformats.org/officeDocument/2006/relationships/hyperlink" Target="https://www.hdc-consulting.com/" TargetMode="External"/><Relationship Id="rId39" Type="http://schemas.openxmlformats.org/officeDocument/2006/relationships/hyperlink" Target="https://fb.com/thuanthang.ltd" TargetMode="External"/><Relationship Id="rId109" Type="http://schemas.openxmlformats.org/officeDocument/2006/relationships/hyperlink" Target="https://hathyo.com/product" TargetMode="External"/><Relationship Id="rId34" Type="http://schemas.openxmlformats.org/officeDocument/2006/relationships/hyperlink" Target="https://maps.app.goo.gl/BQz2zc1fTUH9EQCH8" TargetMode="External"/><Relationship Id="rId50" Type="http://schemas.openxmlformats.org/officeDocument/2006/relationships/hyperlink" Target="mailto:phuong.vo@wtwco.com" TargetMode="External"/><Relationship Id="rId55" Type="http://schemas.openxmlformats.org/officeDocument/2006/relationships/hyperlink" Target="https://fb.com/luu.khac.3" TargetMode="External"/><Relationship Id="rId76" Type="http://schemas.openxmlformats.org/officeDocument/2006/relationships/hyperlink" Target="https://hathyo.com/product" TargetMode="External"/><Relationship Id="rId97" Type="http://schemas.openxmlformats.org/officeDocument/2006/relationships/hyperlink" Target="https://hathyo.com/product" TargetMode="External"/><Relationship Id="rId104" Type="http://schemas.openxmlformats.org/officeDocument/2006/relationships/hyperlink" Target="https://lavener.vn/" TargetMode="External"/><Relationship Id="rId120" Type="http://schemas.openxmlformats.org/officeDocument/2006/relationships/hyperlink" Target="mailto:nttrang.bidrico@gmail.com" TargetMode="External"/><Relationship Id="rId125" Type="http://schemas.openxmlformats.org/officeDocument/2006/relationships/hyperlink" Target="https://www.facebook.com/share/1KrkMyDk5F/?mibextid=wwXIfr" TargetMode="External"/><Relationship Id="rId141" Type="http://schemas.openxmlformats.org/officeDocument/2006/relationships/hyperlink" Target="https://qtbc.vn/m?c=A088" TargetMode="External"/><Relationship Id="rId146" Type="http://schemas.openxmlformats.org/officeDocument/2006/relationships/hyperlink" Target="https://fb.com/hoang.chau.9026" TargetMode="External"/><Relationship Id="rId167" Type="http://schemas.openxmlformats.org/officeDocument/2006/relationships/hyperlink" Target="https://www.facebook.com/vietnhattan.com.vn" TargetMode="External"/><Relationship Id="rId7" Type="http://schemas.openxmlformats.org/officeDocument/2006/relationships/hyperlink" Target="https://www.moitruongtamnguyen.com/" TargetMode="External"/><Relationship Id="rId71" Type="http://schemas.openxmlformats.org/officeDocument/2006/relationships/hyperlink" Target="http://www.toanthanhphat.com.vn/" TargetMode="External"/><Relationship Id="rId92" Type="http://schemas.openxmlformats.org/officeDocument/2006/relationships/hyperlink" Target="http://www.eximbank.com.vn/" TargetMode="External"/><Relationship Id="rId162" Type="http://schemas.openxmlformats.org/officeDocument/2006/relationships/hyperlink" Target="https://hathyo.com/product" TargetMode="External"/><Relationship Id="rId2" Type="http://schemas.openxmlformats.org/officeDocument/2006/relationships/hyperlink" Target="https://maps.app.goo.gl/t1htmK1RmBLWvVt78" TargetMode="External"/><Relationship Id="rId29" Type="http://schemas.openxmlformats.org/officeDocument/2006/relationships/hyperlink" Target="mailto:binhminhsafety.kd@gmail.com" TargetMode="External"/><Relationship Id="rId24" Type="http://schemas.openxmlformats.org/officeDocument/2006/relationships/hyperlink" Target="https://www.facebook.com/CaoThanhCongOfficial" TargetMode="External"/><Relationship Id="rId40" Type="http://schemas.openxmlformats.org/officeDocument/2006/relationships/hyperlink" Target="https://nhomkinhthuanthang.com/" TargetMode="External"/><Relationship Id="rId45" Type="http://schemas.openxmlformats.org/officeDocument/2006/relationships/hyperlink" Target="https://hathyo.com/product" TargetMode="External"/><Relationship Id="rId66" Type="http://schemas.openxmlformats.org/officeDocument/2006/relationships/hyperlink" Target="https://brule-coffee.myharavan.com/" TargetMode="External"/><Relationship Id="rId87" Type="http://schemas.openxmlformats.org/officeDocument/2006/relationships/hyperlink" Target="http://zalo.me/0909833859" TargetMode="External"/><Relationship Id="rId110" Type="http://schemas.openxmlformats.org/officeDocument/2006/relationships/hyperlink" Target="https://nguyenhoangaqua.vn/Upload/Logo/2024/05/04/07/34/09/logo-2024-png-1.png" TargetMode="External"/><Relationship Id="rId115" Type="http://schemas.openxmlformats.org/officeDocument/2006/relationships/hyperlink" Target="https://maps.app.goo.gl/DCYFBecSh5UxAuBz6" TargetMode="External"/><Relationship Id="rId131" Type="http://schemas.openxmlformats.org/officeDocument/2006/relationships/hyperlink" Target="https://truonggiangcorp.vn/" TargetMode="External"/><Relationship Id="rId136" Type="http://schemas.openxmlformats.org/officeDocument/2006/relationships/hyperlink" Target="https://www.tenet.vn/" TargetMode="External"/><Relationship Id="rId157" Type="http://schemas.openxmlformats.org/officeDocument/2006/relationships/hyperlink" Target="https://www.facebook.com/BangNhatNguyen.phuthinhhome" TargetMode="External"/><Relationship Id="rId178" Type="http://schemas.openxmlformats.org/officeDocument/2006/relationships/hyperlink" Target="https://hathyo.com/product" TargetMode="External"/><Relationship Id="rId61" Type="http://schemas.openxmlformats.org/officeDocument/2006/relationships/hyperlink" Target="mailto:thanhnd@thienphattien.com" TargetMode="External"/><Relationship Id="rId82" Type="http://schemas.openxmlformats.org/officeDocument/2006/relationships/hyperlink" Target="https://drive.google.com/open?id=18-jl-oh-Hpf9GDrjN7jkvBEvIEYfNpCk" TargetMode="External"/><Relationship Id="rId152" Type="http://schemas.openxmlformats.org/officeDocument/2006/relationships/hyperlink" Target="https://hathyo.com/product" TargetMode="External"/><Relationship Id="rId173" Type="http://schemas.openxmlformats.org/officeDocument/2006/relationships/hyperlink" Target="https://banhcanhcaloc.vn/" TargetMode="External"/><Relationship Id="rId19" Type="http://schemas.openxmlformats.org/officeDocument/2006/relationships/hyperlink" Target="https://fb.com/Hunggarment" TargetMode="External"/><Relationship Id="rId14" Type="http://schemas.openxmlformats.org/officeDocument/2006/relationships/hyperlink" Target="https://maps.app.goo.gl/etRqAEWPQswJhDUk8" TargetMode="External"/><Relationship Id="rId30" Type="http://schemas.openxmlformats.org/officeDocument/2006/relationships/hyperlink" Target="https://songngoc.com.vn/" TargetMode="External"/><Relationship Id="rId35" Type="http://schemas.openxmlformats.org/officeDocument/2006/relationships/hyperlink" Target="https://hathyo.com/product" TargetMode="External"/><Relationship Id="rId56" Type="http://schemas.openxmlformats.org/officeDocument/2006/relationships/hyperlink" Target="https://grfood.com.vn/" TargetMode="External"/><Relationship Id="rId77" Type="http://schemas.openxmlformats.org/officeDocument/2006/relationships/hyperlink" Target="https://wisdomlandpreschool.com/" TargetMode="External"/><Relationship Id="rId100" Type="http://schemas.openxmlformats.org/officeDocument/2006/relationships/hyperlink" Target="https://dolphincons.vn/" TargetMode="External"/><Relationship Id="rId105" Type="http://schemas.openxmlformats.org/officeDocument/2006/relationships/hyperlink" Target="https://web.facebook.com/lavenerdental?_rdc=1&amp;_rdr" TargetMode="External"/><Relationship Id="rId126" Type="http://schemas.openxmlformats.org/officeDocument/2006/relationships/hyperlink" Target="https://www.tiktok.com/@vtb.cn.tp.hcm.sme" TargetMode="External"/><Relationship Id="rId147" Type="http://schemas.openxmlformats.org/officeDocument/2006/relationships/hyperlink" Target="https://hathyo.com/product" TargetMode="External"/><Relationship Id="rId168" Type="http://schemas.openxmlformats.org/officeDocument/2006/relationships/hyperlink" Target="http://www.duckimtinh.com/" TargetMode="External"/><Relationship Id="rId8" Type="http://schemas.openxmlformats.org/officeDocument/2006/relationships/hyperlink" Target="http://bkgreen.vn/" TargetMode="External"/><Relationship Id="rId51" Type="http://schemas.openxmlformats.org/officeDocument/2006/relationships/hyperlink" Target="https://hathyo.com/product" TargetMode="External"/><Relationship Id="rId72" Type="http://schemas.openxmlformats.org/officeDocument/2006/relationships/hyperlink" Target="https://fb.com/toanthanhphatcons" TargetMode="External"/><Relationship Id="rId93" Type="http://schemas.openxmlformats.org/officeDocument/2006/relationships/hyperlink" Target="https://ngocthinh.com/" TargetMode="External"/><Relationship Id="rId98" Type="http://schemas.openxmlformats.org/officeDocument/2006/relationships/hyperlink" Target="https://mic.vn/Uploads/Logo%20MIC/logo%20mic.png" TargetMode="External"/><Relationship Id="rId121" Type="http://schemas.openxmlformats.org/officeDocument/2006/relationships/hyperlink" Target="https://www.facebook.com/share/1895GtTqFP/?mibextid=wwXIfr" TargetMode="External"/><Relationship Id="rId142" Type="http://schemas.openxmlformats.org/officeDocument/2006/relationships/hyperlink" Target="http://zalo.me/0987761999" TargetMode="External"/><Relationship Id="rId163" Type="http://schemas.openxmlformats.org/officeDocument/2006/relationships/hyperlink" Target="https://hathyo.com/product" TargetMode="External"/><Relationship Id="rId3" Type="http://schemas.openxmlformats.org/officeDocument/2006/relationships/hyperlink" Target="https://fb.com/share/1DPnpa2ATP" TargetMode="External"/><Relationship Id="rId25" Type="http://schemas.openxmlformats.org/officeDocument/2006/relationships/hyperlink" Target="mailto:thucphamanphat668@gmail.com" TargetMode="External"/><Relationship Id="rId46" Type="http://schemas.openxmlformats.org/officeDocument/2006/relationships/hyperlink" Target="http://fb.com/LinhSan335555" TargetMode="External"/><Relationship Id="rId67" Type="http://schemas.openxmlformats.org/officeDocument/2006/relationships/hyperlink" Target="https://hathyo.com/product" TargetMode="External"/><Relationship Id="rId116" Type="http://schemas.openxmlformats.org/officeDocument/2006/relationships/hyperlink" Target="https://khangminhphatplastic.com/" TargetMode="External"/><Relationship Id="rId137" Type="http://schemas.openxmlformats.org/officeDocument/2006/relationships/hyperlink" Target="https://khaiphat-hvac.com/" TargetMode="External"/><Relationship Id="rId158" Type="http://schemas.openxmlformats.org/officeDocument/2006/relationships/hyperlink" Target="https://www.tiktok.com/@bang_balance" TargetMode="External"/><Relationship Id="rId20" Type="http://schemas.openxmlformats.org/officeDocument/2006/relationships/hyperlink" Target="https://www.tiktok.com/@nam.quc.hung" TargetMode="External"/><Relationship Id="rId41" Type="http://schemas.openxmlformats.org/officeDocument/2006/relationships/hyperlink" Target="https://dnqt.vn/assets/companies/1_58.jfif" TargetMode="External"/><Relationship Id="rId62" Type="http://schemas.openxmlformats.org/officeDocument/2006/relationships/hyperlink" Target="http://www.thienphattien.com/" TargetMode="External"/><Relationship Id="rId83" Type="http://schemas.openxmlformats.org/officeDocument/2006/relationships/hyperlink" Target="https://vemaybaytransworld.com/upload/hinhanh/h_logo-3113.png" TargetMode="External"/><Relationship Id="rId88" Type="http://schemas.openxmlformats.org/officeDocument/2006/relationships/hyperlink" Target="https://hathyo.com/product" TargetMode="External"/><Relationship Id="rId111" Type="http://schemas.openxmlformats.org/officeDocument/2006/relationships/hyperlink" Target="https://cagaileoanxuan.vn/" TargetMode="External"/><Relationship Id="rId132" Type="http://schemas.openxmlformats.org/officeDocument/2006/relationships/hyperlink" Target="http://truonggiangcorp.vn/" TargetMode="External"/><Relationship Id="rId153" Type="http://schemas.openxmlformats.org/officeDocument/2006/relationships/hyperlink" Target="https://hathyo.com/product" TargetMode="External"/><Relationship Id="rId174" Type="http://schemas.openxmlformats.org/officeDocument/2006/relationships/hyperlink" Target="http://tiktok.com/@hieubanhcanhcaloc" TargetMode="External"/><Relationship Id="rId179" Type="http://schemas.openxmlformats.org/officeDocument/2006/relationships/hyperlink" Target="https://maps.app.goo.gl/etRqAEWPQswJhDUk8" TargetMode="External"/><Relationship Id="rId15" Type="http://schemas.openxmlformats.org/officeDocument/2006/relationships/hyperlink" Target="http://www.sataco.com/" TargetMode="External"/><Relationship Id="rId36" Type="http://schemas.openxmlformats.org/officeDocument/2006/relationships/hyperlink" Target="https://www.facebook.com/share/1BqRo9zjyR/?mibextid=wwXIfr" TargetMode="External"/><Relationship Id="rId57" Type="http://schemas.openxmlformats.org/officeDocument/2006/relationships/hyperlink" Target="https://hathyo.com/product" TargetMode="External"/><Relationship Id="rId106" Type="http://schemas.openxmlformats.org/officeDocument/2006/relationships/hyperlink" Target="https://hathyo.com/product" TargetMode="External"/><Relationship Id="rId127" Type="http://schemas.openxmlformats.org/officeDocument/2006/relationships/hyperlink" Target="https://hathyo.com/product" TargetMode="External"/><Relationship Id="rId10" Type="http://schemas.openxmlformats.org/officeDocument/2006/relationships/hyperlink" Target="https://www.facebook.com/sang.le.minh.1983" TargetMode="External"/><Relationship Id="rId31" Type="http://schemas.openxmlformats.org/officeDocument/2006/relationships/hyperlink" Target="http://sncc.vn/" TargetMode="External"/><Relationship Id="rId52" Type="http://schemas.openxmlformats.org/officeDocument/2006/relationships/hyperlink" Target="https://maps.app.goo.gl/jgFcvebuHD7ixwQZA" TargetMode="External"/><Relationship Id="rId73" Type="http://schemas.openxmlformats.org/officeDocument/2006/relationships/hyperlink" Target="http://www.toanthanhphat.com.vn/thumbs/150x150x1/upload/photo/logo02-6709.png" TargetMode="External"/><Relationship Id="rId78" Type="http://schemas.openxmlformats.org/officeDocument/2006/relationships/hyperlink" Target="https://wisdomland.edu.vn/" TargetMode="External"/><Relationship Id="rId94" Type="http://schemas.openxmlformats.org/officeDocument/2006/relationships/hyperlink" Target="https://www.facebook.com/NoithatNgocThinh" TargetMode="External"/><Relationship Id="rId99" Type="http://schemas.openxmlformats.org/officeDocument/2006/relationships/hyperlink" Target="http://qtbc.vn/m?c=A070" TargetMode="External"/><Relationship Id="rId101" Type="http://schemas.openxmlformats.org/officeDocument/2006/relationships/hyperlink" Target="http://www.anbaominh.com/" TargetMode="External"/><Relationship Id="rId122" Type="http://schemas.openxmlformats.org/officeDocument/2006/relationships/hyperlink" Target="https://hathyo.com/product" TargetMode="External"/><Relationship Id="rId143" Type="http://schemas.openxmlformats.org/officeDocument/2006/relationships/hyperlink" Target="https://hathyo.com/product" TargetMode="External"/><Relationship Id="rId148" Type="http://schemas.openxmlformats.org/officeDocument/2006/relationships/hyperlink" Target="https://qtbc.vn/m?c=A095" TargetMode="External"/><Relationship Id="rId164" Type="http://schemas.openxmlformats.org/officeDocument/2006/relationships/hyperlink" Target="https://qtbc.vn/m?c=A095" TargetMode="External"/><Relationship Id="rId169" Type="http://schemas.openxmlformats.org/officeDocument/2006/relationships/hyperlink" Target="https://hathyo.com/product" TargetMode="External"/><Relationship Id="rId4" Type="http://schemas.openxmlformats.org/officeDocument/2006/relationships/hyperlink" Target="https://fb.com/DaiAnThai" TargetMode="External"/><Relationship Id="rId9" Type="http://schemas.openxmlformats.org/officeDocument/2006/relationships/hyperlink" Target="http://quangnong.com/" TargetMode="External"/><Relationship Id="rId180" Type="http://schemas.openxmlformats.org/officeDocument/2006/relationships/hyperlink" Target="http://www.pvi.com.vn/" TargetMode="External"/><Relationship Id="rId26" Type="http://schemas.openxmlformats.org/officeDocument/2006/relationships/hyperlink" Target="http://zalo.me/0935996668" TargetMode="External"/><Relationship Id="rId47" Type="http://schemas.openxmlformats.org/officeDocument/2006/relationships/hyperlink" Target="https://phuocmy.com.vn/" TargetMode="External"/><Relationship Id="rId68" Type="http://schemas.openxmlformats.org/officeDocument/2006/relationships/hyperlink" Target="https://www.facebook.com/people/S365-Technical-Trading-Co-LTD/100033229032687" TargetMode="External"/><Relationship Id="rId89" Type="http://schemas.openxmlformats.org/officeDocument/2006/relationships/hyperlink" Target="https://datviettour.com.vn/" TargetMode="External"/><Relationship Id="rId112" Type="http://schemas.openxmlformats.org/officeDocument/2006/relationships/hyperlink" Target="http://fb.com/cagaileoanxuan" TargetMode="External"/><Relationship Id="rId133" Type="http://schemas.openxmlformats.org/officeDocument/2006/relationships/hyperlink" Target="https://hdbank.com.vn/" TargetMode="External"/><Relationship Id="rId154" Type="http://schemas.openxmlformats.org/officeDocument/2006/relationships/hyperlink" Target="https://hathyo.com/product" TargetMode="External"/><Relationship Id="rId175" Type="http://schemas.openxmlformats.org/officeDocument/2006/relationships/hyperlink" Target="https://hathyo.com/product" TargetMode="External"/><Relationship Id="rId16" Type="http://schemas.openxmlformats.org/officeDocument/2006/relationships/hyperlink" Target="https://fb.com/share/1FctnaMowP/?mibextid=wwXIfr" TargetMode="External"/><Relationship Id="rId37" Type="http://schemas.openxmlformats.org/officeDocument/2006/relationships/hyperlink" Target="https://dnqt.vn/assets/companies/1_58.jfif" TargetMode="External"/><Relationship Id="rId58" Type="http://schemas.openxmlformats.org/officeDocument/2006/relationships/hyperlink" Target="https://dansolutions.vn/" TargetMode="External"/><Relationship Id="rId79" Type="http://schemas.openxmlformats.org/officeDocument/2006/relationships/hyperlink" Target="https://wisdomlandpreschool.com/" TargetMode="External"/><Relationship Id="rId102" Type="http://schemas.openxmlformats.org/officeDocument/2006/relationships/hyperlink" Target="https://www.facebook.com/anbao.minh.50" TargetMode="External"/><Relationship Id="rId123" Type="http://schemas.openxmlformats.org/officeDocument/2006/relationships/hyperlink" Target="http://asiasolargroup.vn/" TargetMode="External"/><Relationship Id="rId144" Type="http://schemas.openxmlformats.org/officeDocument/2006/relationships/hyperlink" Target="https://qtbc.vn/m?c=A088" TargetMode="External"/><Relationship Id="rId90" Type="http://schemas.openxmlformats.org/officeDocument/2006/relationships/hyperlink" Target="https://hathyo.com/product" TargetMode="External"/><Relationship Id="rId165" Type="http://schemas.openxmlformats.org/officeDocument/2006/relationships/hyperlink" Target="https://hathyo.com/product" TargetMode="External"/><Relationship Id="rId27" Type="http://schemas.openxmlformats.org/officeDocument/2006/relationships/hyperlink" Target="https://fb.com/phucnguyen2601" TargetMode="External"/><Relationship Id="rId48" Type="http://schemas.openxmlformats.org/officeDocument/2006/relationships/hyperlink" Target="https://www.facebook.com/www.phuocmy.com.vn/" TargetMode="External"/><Relationship Id="rId69" Type="http://schemas.openxmlformats.org/officeDocument/2006/relationships/hyperlink" Target="http://dgmep.com/" TargetMode="External"/><Relationship Id="rId113" Type="http://schemas.openxmlformats.org/officeDocument/2006/relationships/hyperlink" Target="https://hathyo.com/product" TargetMode="External"/><Relationship Id="rId134" Type="http://schemas.openxmlformats.org/officeDocument/2006/relationships/hyperlink" Target="https://hathyo.com/product" TargetMode="External"/><Relationship Id="rId80" Type="http://schemas.openxmlformats.org/officeDocument/2006/relationships/hyperlink" Target="https://www.fwd.com.vn/" TargetMode="External"/><Relationship Id="rId155" Type="http://schemas.openxmlformats.org/officeDocument/2006/relationships/hyperlink" Target="http://zalo.me/0981798307" TargetMode="External"/><Relationship Id="rId176" Type="http://schemas.openxmlformats.org/officeDocument/2006/relationships/hyperlink" Target="http://manulife.com.vn/" TargetMode="External"/><Relationship Id="rId17" Type="http://schemas.openxmlformats.org/officeDocument/2006/relationships/hyperlink" Target="https://maps.app.goo.gl/hBB69RA579y6bhWX7" TargetMode="External"/><Relationship Id="rId38" Type="http://schemas.openxmlformats.org/officeDocument/2006/relationships/hyperlink" Target="https://nhomkinhthuanthang.com/" TargetMode="External"/><Relationship Id="rId59" Type="http://schemas.openxmlformats.org/officeDocument/2006/relationships/hyperlink" Target="https://thepsata.com.vn/" TargetMode="External"/><Relationship Id="rId103" Type="http://schemas.openxmlformats.org/officeDocument/2006/relationships/hyperlink" Target="http://www.vienthongsaigon.vn/" TargetMode="External"/><Relationship Id="rId124" Type="http://schemas.openxmlformats.org/officeDocument/2006/relationships/hyperlink" Target="https://www.vietinbank.vn/" TargetMode="External"/><Relationship Id="rId70" Type="http://schemas.openxmlformats.org/officeDocument/2006/relationships/hyperlink" Target="http://www.toanthanhphat.com.vn/thumbs/150x150x1/upload/photo/logo02-6709.png" TargetMode="External"/><Relationship Id="rId91" Type="http://schemas.openxmlformats.org/officeDocument/2006/relationships/hyperlink" Target="http://zalo.me/0925609666" TargetMode="External"/><Relationship Id="rId145" Type="http://schemas.openxmlformats.org/officeDocument/2006/relationships/hyperlink" Target="https://www.facebook.com/giahaogroupbds/" TargetMode="External"/><Relationship Id="rId166" Type="http://schemas.openxmlformats.org/officeDocument/2006/relationships/hyperlink" Target="https://hathyo.com/product" TargetMode="External"/><Relationship Id="rId1" Type="http://schemas.openxmlformats.org/officeDocument/2006/relationships/hyperlink" Target="https://www.facebook.com/NuocGiaiKhatBidrico/" TargetMode="External"/><Relationship Id="rId28" Type="http://schemas.openxmlformats.org/officeDocument/2006/relationships/hyperlink" Target="http://fb.com/profile.php?id=61584552995446" TargetMode="External"/><Relationship Id="rId49" Type="http://schemas.openxmlformats.org/officeDocument/2006/relationships/hyperlink" Target="http://fb.com/0774582777" TargetMode="External"/><Relationship Id="rId114" Type="http://schemas.openxmlformats.org/officeDocument/2006/relationships/hyperlink" Target="https://maps.app.goo.gl/DCYFBecSh5UxAuBz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selection activeCell="B30" sqref="B30:B31"/>
    </sheetView>
  </sheetViews>
  <sheetFormatPr defaultColWidth="12.5703125" defaultRowHeight="15.75" customHeight="1" x14ac:dyDescent="0.2"/>
  <cols>
    <col min="1" max="1" width="18.42578125" customWidth="1"/>
    <col min="2" max="2" width="82.28515625" customWidth="1"/>
    <col min="4" max="4" width="99.85546875" customWidth="1"/>
  </cols>
  <sheetData>
    <row r="1" spans="1:27" ht="12.75" x14ac:dyDescent="0.2">
      <c r="A1" s="1" t="s">
        <v>0</v>
      </c>
      <c r="B1" s="2" t="s">
        <v>1</v>
      </c>
      <c r="C1" s="3"/>
      <c r="D1" s="3"/>
      <c r="E1" s="4"/>
      <c r="F1" s="4"/>
      <c r="G1" s="4"/>
      <c r="H1" s="4"/>
      <c r="I1" s="4"/>
      <c r="J1" s="4"/>
      <c r="K1" s="4"/>
      <c r="L1" s="4"/>
      <c r="M1" s="4"/>
      <c r="N1" s="4"/>
      <c r="O1" s="4"/>
      <c r="P1" s="4"/>
      <c r="Q1" s="4"/>
      <c r="R1" s="4"/>
      <c r="S1" s="4"/>
      <c r="T1" s="4"/>
      <c r="U1" s="4"/>
      <c r="V1" s="4"/>
      <c r="W1" s="4"/>
      <c r="X1" s="4"/>
      <c r="Y1" s="3" t="s">
        <v>2</v>
      </c>
      <c r="Z1" s="3" t="s">
        <v>0</v>
      </c>
      <c r="AA1" s="3" t="s">
        <v>3</v>
      </c>
    </row>
    <row r="2" spans="1:27" ht="12.75" x14ac:dyDescent="0.2">
      <c r="A2" s="5" t="s">
        <v>4</v>
      </c>
      <c r="B2" s="6" t="s">
        <v>5</v>
      </c>
      <c r="C2" s="7"/>
      <c r="D2" s="3"/>
      <c r="E2" s="4"/>
      <c r="F2" s="4"/>
      <c r="G2" s="4"/>
      <c r="H2" s="4"/>
      <c r="I2" s="4"/>
      <c r="J2" s="4"/>
      <c r="K2" s="4"/>
      <c r="L2" s="4"/>
      <c r="M2" s="4"/>
      <c r="N2" s="4"/>
      <c r="O2" s="4"/>
      <c r="P2" s="4"/>
      <c r="Q2" s="4"/>
      <c r="R2" s="4"/>
      <c r="S2" s="4"/>
      <c r="T2" s="4"/>
      <c r="U2" s="4"/>
      <c r="V2" s="4"/>
      <c r="W2" s="4"/>
      <c r="X2" s="4"/>
      <c r="Y2" s="4"/>
      <c r="Z2" s="4"/>
      <c r="AA2" s="4"/>
    </row>
    <row r="3" spans="1:27" ht="12.75" x14ac:dyDescent="0.2">
      <c r="A3" s="8" t="s">
        <v>6</v>
      </c>
      <c r="B3" s="9" t="s">
        <v>7</v>
      </c>
      <c r="C3" s="7"/>
      <c r="D3" s="3"/>
      <c r="E3" s="4"/>
      <c r="F3" s="4"/>
      <c r="G3" s="4"/>
      <c r="H3" s="4"/>
      <c r="I3" s="4"/>
      <c r="J3" s="4"/>
      <c r="K3" s="4"/>
      <c r="L3" s="4"/>
      <c r="M3" s="4"/>
      <c r="N3" s="4"/>
      <c r="O3" s="4"/>
      <c r="P3" s="4"/>
      <c r="Q3" s="4"/>
      <c r="R3" s="4"/>
      <c r="S3" s="4"/>
      <c r="T3" s="4"/>
      <c r="U3" s="4"/>
      <c r="V3" s="4"/>
      <c r="W3" s="4"/>
      <c r="X3" s="4"/>
      <c r="Y3" s="4"/>
      <c r="Z3" s="4"/>
      <c r="AA3" s="4"/>
    </row>
    <row r="4" spans="1:27" ht="12.75" x14ac:dyDescent="0.2">
      <c r="A4" s="8" t="s">
        <v>8</v>
      </c>
      <c r="B4" s="9" t="s">
        <v>9</v>
      </c>
      <c r="C4" s="7"/>
      <c r="D4" s="3"/>
      <c r="E4" s="4"/>
      <c r="F4" s="4"/>
      <c r="G4" s="4"/>
      <c r="H4" s="4"/>
      <c r="I4" s="4"/>
      <c r="J4" s="4"/>
      <c r="K4" s="4"/>
      <c r="L4" s="4"/>
      <c r="M4" s="4"/>
      <c r="N4" s="4"/>
      <c r="O4" s="4"/>
      <c r="P4" s="4"/>
      <c r="Q4" s="4"/>
      <c r="R4" s="4"/>
      <c r="S4" s="4"/>
      <c r="T4" s="4"/>
      <c r="U4" s="4"/>
      <c r="V4" s="4"/>
      <c r="W4" s="4"/>
      <c r="X4" s="4"/>
      <c r="Y4" s="4"/>
      <c r="Z4" s="4"/>
      <c r="AA4" s="4"/>
    </row>
    <row r="5" spans="1:27" ht="12.75" x14ac:dyDescent="0.2">
      <c r="A5" s="8" t="s">
        <v>10</v>
      </c>
      <c r="B5" s="9" t="s">
        <v>11</v>
      </c>
      <c r="C5" s="4"/>
      <c r="D5" s="3"/>
      <c r="E5" s="4"/>
      <c r="F5" s="4"/>
      <c r="G5" s="4"/>
      <c r="H5" s="4"/>
      <c r="I5" s="4"/>
      <c r="J5" s="4"/>
      <c r="K5" s="4"/>
      <c r="L5" s="4"/>
      <c r="M5" s="4"/>
      <c r="N5" s="4"/>
      <c r="O5" s="4"/>
      <c r="P5" s="4"/>
      <c r="Q5" s="4"/>
      <c r="R5" s="4"/>
      <c r="S5" s="4"/>
      <c r="T5" s="4"/>
      <c r="U5" s="4"/>
      <c r="V5" s="4"/>
      <c r="W5" s="4"/>
      <c r="X5" s="4"/>
      <c r="Y5" s="4"/>
      <c r="Z5" s="4"/>
      <c r="AA5" s="4"/>
    </row>
    <row r="6" spans="1:27" ht="12.75" x14ac:dyDescent="0.2">
      <c r="A6" s="8" t="s">
        <v>12</v>
      </c>
      <c r="B6" s="9" t="s">
        <v>13</v>
      </c>
      <c r="C6" s="4"/>
      <c r="D6" s="3"/>
      <c r="E6" s="4"/>
      <c r="F6" s="4"/>
      <c r="G6" s="4"/>
      <c r="H6" s="4"/>
      <c r="I6" s="4"/>
      <c r="J6" s="4"/>
      <c r="K6" s="4"/>
      <c r="L6" s="4"/>
      <c r="M6" s="4"/>
      <c r="N6" s="4"/>
      <c r="O6" s="4"/>
      <c r="P6" s="4"/>
      <c r="Q6" s="4"/>
      <c r="R6" s="4"/>
      <c r="S6" s="4"/>
      <c r="T6" s="4"/>
      <c r="U6" s="4"/>
      <c r="V6" s="4"/>
      <c r="W6" s="4"/>
      <c r="X6" s="4"/>
      <c r="Y6" s="4"/>
      <c r="Z6" s="4"/>
      <c r="AA6" s="4"/>
    </row>
    <row r="7" spans="1:27" ht="12.75" x14ac:dyDescent="0.2">
      <c r="A7" s="8" t="s">
        <v>14</v>
      </c>
      <c r="B7" s="10" t="s">
        <v>15</v>
      </c>
      <c r="C7" s="4"/>
      <c r="D7" s="3"/>
      <c r="E7" s="4"/>
      <c r="F7" s="4"/>
      <c r="G7" s="4"/>
      <c r="H7" s="4"/>
      <c r="I7" s="4"/>
      <c r="J7" s="4"/>
      <c r="K7" s="4"/>
      <c r="L7" s="4"/>
      <c r="M7" s="4"/>
      <c r="N7" s="4"/>
      <c r="O7" s="4"/>
      <c r="P7" s="4"/>
      <c r="Q7" s="4"/>
      <c r="R7" s="4"/>
      <c r="S7" s="4"/>
      <c r="T7" s="4"/>
      <c r="U7" s="4"/>
      <c r="V7" s="4"/>
      <c r="W7" s="4"/>
      <c r="X7" s="4"/>
      <c r="Y7" s="4"/>
      <c r="Z7" s="4"/>
      <c r="AA7" s="4"/>
    </row>
    <row r="8" spans="1:27" ht="15.75" customHeight="1" x14ac:dyDescent="0.2">
      <c r="A8" s="8" t="s">
        <v>16</v>
      </c>
      <c r="B8" s="11" t="b">
        <v>1</v>
      </c>
      <c r="C8" s="3"/>
      <c r="D8" s="3"/>
      <c r="E8" s="4"/>
      <c r="F8" s="4"/>
      <c r="G8" s="4"/>
      <c r="H8" s="4"/>
      <c r="I8" s="4"/>
      <c r="J8" s="4"/>
      <c r="K8" s="4"/>
      <c r="L8" s="4"/>
      <c r="M8" s="4"/>
      <c r="N8" s="4"/>
      <c r="O8" s="4"/>
      <c r="P8" s="4"/>
      <c r="Q8" s="4"/>
      <c r="R8" s="4"/>
      <c r="S8" s="4"/>
      <c r="T8" s="4"/>
      <c r="U8" s="4"/>
      <c r="V8" s="4"/>
      <c r="W8" s="4"/>
      <c r="X8" s="4"/>
      <c r="Y8" s="12" t="s">
        <v>17</v>
      </c>
      <c r="Z8" s="12" t="s">
        <v>18</v>
      </c>
      <c r="AA8" s="12" t="s">
        <v>19</v>
      </c>
    </row>
    <row r="9" spans="1:27" ht="15.75" customHeight="1" x14ac:dyDescent="0.2">
      <c r="A9" s="8" t="s">
        <v>20</v>
      </c>
      <c r="B9" s="13" t="s">
        <v>21</v>
      </c>
      <c r="C9" s="3"/>
      <c r="D9" s="3"/>
      <c r="E9" s="4"/>
      <c r="F9" s="4"/>
      <c r="G9" s="4"/>
      <c r="H9" s="4"/>
      <c r="I9" s="4"/>
      <c r="J9" s="4"/>
      <c r="K9" s="4"/>
      <c r="L9" s="4"/>
      <c r="M9" s="4"/>
      <c r="N9" s="4"/>
      <c r="O9" s="4"/>
      <c r="P9" s="4"/>
      <c r="Q9" s="4"/>
      <c r="R9" s="4"/>
      <c r="S9" s="4"/>
      <c r="T9" s="4"/>
      <c r="U9" s="4"/>
      <c r="V9" s="4"/>
      <c r="W9" s="4"/>
      <c r="X9" s="4"/>
      <c r="Y9" s="12" t="s">
        <v>21</v>
      </c>
      <c r="Z9" s="12" t="s">
        <v>22</v>
      </c>
      <c r="AA9" s="12" t="s">
        <v>23</v>
      </c>
    </row>
    <row r="10" spans="1:27" ht="15.75" customHeight="1" x14ac:dyDescent="0.2">
      <c r="A10" s="8" t="s">
        <v>24</v>
      </c>
      <c r="B10" s="11" t="str">
        <f>VLOOKUP(B9, Y:Z, 2, FALSE)</f>
        <v>sk-239fe2eaa81f42589640c4ce0fd7a2b1</v>
      </c>
      <c r="C10" s="3"/>
      <c r="D10" s="3"/>
      <c r="E10" s="4"/>
      <c r="F10" s="4"/>
      <c r="G10" s="4"/>
      <c r="H10" s="4"/>
      <c r="I10" s="4"/>
      <c r="J10" s="4"/>
      <c r="K10" s="4"/>
      <c r="L10" s="4"/>
      <c r="M10" s="4"/>
      <c r="N10" s="4"/>
      <c r="O10" s="4"/>
      <c r="P10" s="4"/>
      <c r="Q10" s="4"/>
      <c r="R10" s="4"/>
      <c r="S10" s="4"/>
      <c r="T10" s="4"/>
      <c r="U10" s="4"/>
      <c r="V10" s="4"/>
      <c r="W10" s="4"/>
      <c r="X10" s="4"/>
      <c r="Y10" s="12" t="s">
        <v>25</v>
      </c>
      <c r="Z10" s="12" t="s">
        <v>26</v>
      </c>
      <c r="AA10" s="12" t="s">
        <v>27</v>
      </c>
    </row>
    <row r="11" spans="1:27" ht="12.75" x14ac:dyDescent="0.2">
      <c r="A11" s="5" t="s">
        <v>28</v>
      </c>
      <c r="B11" s="6">
        <v>200</v>
      </c>
      <c r="C11" s="4"/>
      <c r="D11" s="3"/>
      <c r="E11" s="4"/>
      <c r="F11" s="4"/>
      <c r="G11" s="4"/>
      <c r="H11" s="4"/>
      <c r="I11" s="4"/>
      <c r="J11" s="4"/>
      <c r="K11" s="4"/>
      <c r="L11" s="4"/>
      <c r="M11" s="4"/>
      <c r="N11" s="4"/>
      <c r="O11" s="4"/>
      <c r="P11" s="4"/>
      <c r="Q11" s="4"/>
      <c r="R11" s="4"/>
      <c r="S11" s="4"/>
      <c r="T11" s="4"/>
      <c r="U11" s="4"/>
      <c r="V11" s="4"/>
      <c r="W11" s="4"/>
      <c r="X11" s="4"/>
      <c r="Y11" s="4"/>
      <c r="Z11" s="4"/>
      <c r="AA11" s="4"/>
    </row>
    <row r="12" spans="1:27" ht="51" x14ac:dyDescent="0.2">
      <c r="A12" s="5" t="s">
        <v>29</v>
      </c>
      <c r="B12" s="14" t="s">
        <v>30</v>
      </c>
      <c r="C12" s="4"/>
      <c r="D12" s="3"/>
      <c r="E12" s="4"/>
      <c r="F12" s="4"/>
      <c r="G12" s="4"/>
      <c r="H12" s="4"/>
      <c r="I12" s="4"/>
      <c r="J12" s="4"/>
      <c r="K12" s="4"/>
      <c r="L12" s="4"/>
      <c r="M12" s="4"/>
      <c r="N12" s="4"/>
      <c r="O12" s="4"/>
      <c r="P12" s="4"/>
      <c r="Q12" s="4"/>
      <c r="R12" s="4"/>
      <c r="S12" s="4"/>
      <c r="T12" s="4"/>
      <c r="U12" s="4"/>
      <c r="V12" s="4"/>
      <c r="W12" s="4"/>
      <c r="X12" s="4"/>
      <c r="Y12" s="4"/>
      <c r="Z12" s="4"/>
      <c r="AA12" s="4"/>
    </row>
    <row r="13" spans="1:27" ht="12.75" x14ac:dyDescent="0.2">
      <c r="A13" s="15" t="s">
        <v>31</v>
      </c>
      <c r="B13" s="15" t="s">
        <v>32</v>
      </c>
      <c r="C13" s="4"/>
      <c r="D13" s="4"/>
      <c r="E13" s="4"/>
      <c r="F13" s="4"/>
      <c r="G13" s="4"/>
      <c r="H13" s="4"/>
      <c r="I13" s="4"/>
      <c r="J13" s="4"/>
      <c r="K13" s="4"/>
      <c r="L13" s="4"/>
      <c r="M13" s="4"/>
      <c r="N13" s="4"/>
      <c r="O13" s="4"/>
      <c r="P13" s="4"/>
      <c r="Q13" s="4"/>
      <c r="R13" s="4"/>
      <c r="S13" s="4"/>
      <c r="T13" s="4"/>
      <c r="U13" s="4"/>
      <c r="V13" s="4"/>
      <c r="W13" s="4"/>
      <c r="X13" s="4"/>
      <c r="Y13" s="4"/>
      <c r="Z13" s="4"/>
      <c r="AA13" s="4"/>
    </row>
    <row r="14" spans="1:27" ht="12.75" x14ac:dyDescent="0.2">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ht="12.75" x14ac:dyDescent="0.2">
      <c r="A15" s="4"/>
      <c r="B15" s="10" t="s">
        <v>33</v>
      </c>
      <c r="C15" s="4"/>
      <c r="D15" s="4"/>
      <c r="E15" s="4"/>
      <c r="F15" s="4"/>
      <c r="G15" s="4"/>
      <c r="H15" s="4"/>
      <c r="I15" s="4"/>
      <c r="J15" s="4"/>
      <c r="K15" s="4"/>
      <c r="L15" s="4"/>
      <c r="M15" s="4"/>
      <c r="N15" s="4"/>
      <c r="O15" s="4"/>
      <c r="P15" s="4"/>
      <c r="Q15" s="4"/>
      <c r="R15" s="4"/>
      <c r="S15" s="4"/>
      <c r="T15" s="4"/>
      <c r="U15" s="4"/>
      <c r="V15" s="4"/>
      <c r="W15" s="4"/>
      <c r="X15" s="4"/>
      <c r="Y15" s="4"/>
      <c r="Z15" s="4"/>
      <c r="AA15" s="4"/>
    </row>
    <row r="16" spans="1:27" ht="12.75" x14ac:dyDescent="0.2">
      <c r="A16" s="4"/>
      <c r="B16" s="10" t="s">
        <v>34</v>
      </c>
      <c r="C16" s="4"/>
      <c r="D16" s="4"/>
      <c r="E16" s="4"/>
      <c r="F16" s="4"/>
      <c r="G16" s="4"/>
      <c r="H16" s="4"/>
      <c r="I16" s="4"/>
      <c r="J16" s="4"/>
      <c r="K16" s="4"/>
      <c r="L16" s="4"/>
      <c r="M16" s="4"/>
      <c r="N16" s="4"/>
      <c r="O16" s="4"/>
      <c r="P16" s="4"/>
      <c r="Q16" s="4"/>
      <c r="R16" s="4"/>
      <c r="S16" s="4"/>
      <c r="T16" s="4"/>
      <c r="U16" s="4"/>
      <c r="V16" s="4"/>
      <c r="W16" s="4"/>
      <c r="X16" s="4"/>
      <c r="Y16" s="4"/>
      <c r="Z16" s="4"/>
      <c r="AA16" s="4"/>
    </row>
    <row r="17" spans="1:27" ht="12.75" x14ac:dyDescent="0.2">
      <c r="A17" s="4"/>
      <c r="B17" s="16" t="s">
        <v>35</v>
      </c>
      <c r="C17" s="4"/>
      <c r="D17" s="4"/>
      <c r="E17" s="4"/>
      <c r="F17" s="4"/>
      <c r="G17" s="4"/>
      <c r="H17" s="4"/>
      <c r="I17" s="4"/>
      <c r="J17" s="4"/>
      <c r="K17" s="4"/>
      <c r="L17" s="4"/>
      <c r="M17" s="4"/>
      <c r="N17" s="4"/>
      <c r="O17" s="4"/>
      <c r="P17" s="4"/>
      <c r="Q17" s="4"/>
      <c r="R17" s="4"/>
      <c r="S17" s="4"/>
      <c r="T17" s="4"/>
      <c r="U17" s="4"/>
      <c r="V17" s="4"/>
      <c r="W17" s="4"/>
      <c r="X17" s="4"/>
      <c r="Y17" s="4"/>
      <c r="Z17" s="4"/>
      <c r="AA17" s="4"/>
    </row>
    <row r="18" spans="1:27" ht="12.75" x14ac:dyDescent="0.2">
      <c r="A18" s="4"/>
      <c r="B18" s="10" t="s">
        <v>36</v>
      </c>
      <c r="C18" s="4"/>
      <c r="D18" s="4"/>
      <c r="E18" s="4"/>
      <c r="F18" s="4"/>
      <c r="G18" s="4"/>
      <c r="H18" s="4"/>
      <c r="I18" s="4"/>
      <c r="J18" s="4"/>
      <c r="K18" s="4"/>
      <c r="L18" s="4"/>
      <c r="M18" s="4"/>
      <c r="N18" s="4"/>
      <c r="O18" s="4"/>
      <c r="P18" s="4"/>
      <c r="Q18" s="4"/>
      <c r="R18" s="4"/>
      <c r="S18" s="4"/>
      <c r="T18" s="4"/>
      <c r="U18" s="4"/>
      <c r="V18" s="4"/>
      <c r="W18" s="4"/>
      <c r="X18" s="4"/>
      <c r="Y18" s="4"/>
      <c r="Z18" s="4"/>
      <c r="AA18" s="4"/>
    </row>
    <row r="19" spans="1:27" ht="12.75" x14ac:dyDescent="0.2">
      <c r="A19" s="4"/>
      <c r="B19" s="17" t="s">
        <v>37</v>
      </c>
      <c r="C19" s="4"/>
      <c r="D19" s="4"/>
      <c r="E19" s="4"/>
      <c r="F19" s="4"/>
      <c r="G19" s="4"/>
      <c r="H19" s="4"/>
      <c r="I19" s="4"/>
      <c r="J19" s="4"/>
      <c r="K19" s="4"/>
      <c r="L19" s="4"/>
      <c r="M19" s="4"/>
      <c r="N19" s="4"/>
      <c r="O19" s="4"/>
      <c r="P19" s="4"/>
      <c r="Q19" s="4"/>
      <c r="R19" s="4"/>
      <c r="S19" s="4"/>
      <c r="T19" s="4"/>
      <c r="U19" s="4"/>
      <c r="V19" s="4"/>
      <c r="W19" s="4"/>
      <c r="X19" s="4"/>
      <c r="Y19" s="4"/>
      <c r="Z19" s="4"/>
      <c r="AA19" s="4"/>
    </row>
    <row r="20" spans="1:27" ht="12.75" x14ac:dyDescent="0.2">
      <c r="A20" s="4"/>
      <c r="B20" s="10" t="s">
        <v>38</v>
      </c>
      <c r="C20" s="4"/>
      <c r="D20" s="4"/>
      <c r="E20" s="4"/>
      <c r="F20" s="4"/>
      <c r="G20" s="4"/>
      <c r="H20" s="4"/>
      <c r="I20" s="4"/>
      <c r="J20" s="4"/>
      <c r="K20" s="4"/>
      <c r="L20" s="4"/>
      <c r="M20" s="4"/>
      <c r="N20" s="4"/>
      <c r="O20" s="4"/>
      <c r="P20" s="4"/>
      <c r="Q20" s="4"/>
      <c r="R20" s="4"/>
      <c r="S20" s="4"/>
      <c r="T20" s="4"/>
      <c r="U20" s="4"/>
      <c r="V20" s="4"/>
      <c r="W20" s="4"/>
      <c r="X20" s="4"/>
      <c r="Y20" s="4"/>
      <c r="Z20" s="4"/>
      <c r="AA20" s="4"/>
    </row>
    <row r="21" spans="1:27" ht="12.75" x14ac:dyDescent="0.2">
      <c r="A21" s="4"/>
      <c r="B21" s="10" t="s">
        <v>15</v>
      </c>
      <c r="C21" s="4"/>
      <c r="D21" s="4"/>
      <c r="E21" s="4"/>
      <c r="F21" s="4"/>
      <c r="G21" s="4"/>
      <c r="H21" s="4"/>
      <c r="I21" s="4"/>
      <c r="J21" s="4"/>
      <c r="K21" s="4"/>
      <c r="L21" s="4"/>
      <c r="M21" s="4"/>
      <c r="N21" s="4"/>
      <c r="O21" s="4"/>
      <c r="P21" s="4"/>
      <c r="Q21" s="4"/>
      <c r="R21" s="4"/>
      <c r="S21" s="4"/>
      <c r="T21" s="4"/>
      <c r="U21" s="4"/>
      <c r="V21" s="4"/>
      <c r="W21" s="4"/>
      <c r="X21" s="4"/>
      <c r="Y21" s="4"/>
      <c r="Z21" s="4"/>
      <c r="AA21" s="4"/>
    </row>
    <row r="22" spans="1:27" ht="12.75" x14ac:dyDescent="0.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ht="12.75" x14ac:dyDescent="0.2">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ht="12.75" x14ac:dyDescent="0.2">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ht="12.75" x14ac:dyDescent="0.2">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ht="12.75" x14ac:dyDescent="0.2">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ht="12.75" x14ac:dyDescent="0.2">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ht="12.75" x14ac:dyDescent="0.2">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2.75" x14ac:dyDescent="0.2">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2.75" x14ac:dyDescent="0.2">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2.75" x14ac:dyDescent="0.2">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2.75" x14ac:dyDescent="0.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2.75" x14ac:dyDescent="0.2">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2.75" x14ac:dyDescent="0.2">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2.75" x14ac:dyDescent="0.2">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2.75"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2.75"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2.75" x14ac:dyDescent="0.2">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2.75" x14ac:dyDescent="0.2">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2.75" x14ac:dyDescent="0.2">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2.75" x14ac:dyDescent="0.2">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2.75" x14ac:dyDescent="0.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2.75" x14ac:dyDescent="0.2">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2.75" x14ac:dyDescent="0.2">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2.75" x14ac:dyDescent="0.2">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2.75" x14ac:dyDescent="0.2">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2.75" x14ac:dyDescent="0.2">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2.75" x14ac:dyDescent="0.2">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2.75" x14ac:dyDescent="0.2">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2.75" x14ac:dyDescent="0.2">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2.75" x14ac:dyDescent="0.2">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2.75" x14ac:dyDescent="0.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ht="12.75" x14ac:dyDescent="0.2">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ht="12.75" x14ac:dyDescent="0.2">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ht="12.75"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2.75" x14ac:dyDescent="0.2">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ht="12.75" x14ac:dyDescent="0.2">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ht="12.75"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ht="12.75"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ht="12.75" x14ac:dyDescent="0.2">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ht="12.75"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2.75"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2.75"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2.75" x14ac:dyDescent="0.2">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2.75"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2.75" x14ac:dyDescent="0.2">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2.75"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2.75" x14ac:dyDescent="0.2">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2.75"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2.75" x14ac:dyDescent="0.2">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2.75"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2.75"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2.75" x14ac:dyDescent="0.2">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2.75" x14ac:dyDescent="0.2">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2.75"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2.75"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2.75"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2.75"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2.75"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2.75"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2.75"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2.75"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2.75"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2.75"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2.75"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2.75"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2.75"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2.75"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2.75"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2.75"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2.75"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2.75"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2.75"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2.75"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2.75"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2.7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2.7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2.7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2.7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2.7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2.7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2.7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2.7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2.7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2.7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2.7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2.7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2.7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2.7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2.7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2.7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2.7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2.7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2.7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2.7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2.7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2.7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2.7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2.7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2.7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2.7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2.7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2.7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2.7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2.7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2.7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2.7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2.7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2.7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2.7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2.7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2.7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2.7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2.7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2.7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2.7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2.7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2.7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2.7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2.7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2.7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2.7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2.7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2.7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2.7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2.7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2.7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2.7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2.7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2.7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2.75"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2.75"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2.75"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2.75"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2.75"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2.75"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2.75"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2.75"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2.75"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2.75"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2.75"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2.75"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2.75"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2.75"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2.75"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2.75"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2.75"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2.75"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2.75"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2.75"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2.75"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2.75"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2.75"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2.75"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2.75"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2.75"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2.75"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2.75"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2.75"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2.75"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2.75"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2.75"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2.75"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2.75"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2.75"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2.75"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2.75"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2.75"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2.75"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2.75"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2.75"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2.75"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2.75"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2.75"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2.75"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2.75"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2.75"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2.75"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2.75"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2.75"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ataValidations count="1">
    <dataValidation type="list" allowBlank="1" showErrorMessage="1" sqref="B9" xr:uid="{00000000-0002-0000-0000-000000000000}">
      <formula1>"Grok,Gemini,DeepSeek"</formula1>
    </dataValidation>
  </dataValidations>
  <hyperlinks>
    <hyperlink ref="B7" r:id="rId1" xr:uid="{00000000-0004-0000-0000-000000000000}"/>
    <hyperlink ref="B15" r:id="rId2" xr:uid="{00000000-0004-0000-0000-000001000000}"/>
    <hyperlink ref="B16" r:id="rId3" xr:uid="{00000000-0004-0000-0000-000002000000}"/>
    <hyperlink ref="B17" r:id="rId4" xr:uid="{00000000-0004-0000-0000-000003000000}"/>
    <hyperlink ref="B18" r:id="rId5" xr:uid="{00000000-0004-0000-0000-000004000000}"/>
    <hyperlink ref="B19" r:id="rId6" xr:uid="{00000000-0004-0000-0000-000005000000}"/>
    <hyperlink ref="B20" r:id="rId7" xr:uid="{00000000-0004-0000-0000-000006000000}"/>
    <hyperlink ref="B21" r:id="rId8"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G100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75" customHeight="1" x14ac:dyDescent="0.2"/>
  <cols>
    <col min="1" max="1" width="8.42578125" customWidth="1"/>
    <col min="2" max="3" width="13.140625" customWidth="1"/>
    <col min="5" max="5" width="15.28515625" customWidth="1"/>
    <col min="6" max="6" width="14" customWidth="1"/>
    <col min="7" max="8" width="17.85546875" customWidth="1"/>
    <col min="9" max="9" width="61.140625" customWidth="1"/>
    <col min="10" max="11" width="15.42578125" customWidth="1"/>
    <col min="12" max="12" width="29.42578125" customWidth="1"/>
    <col min="13" max="13" width="16.140625" customWidth="1"/>
    <col min="14" max="14" width="21" customWidth="1"/>
    <col min="15" max="15" width="16.140625" customWidth="1"/>
    <col min="16" max="16" width="21" customWidth="1"/>
    <col min="18" max="18" width="29.42578125" customWidth="1"/>
    <col min="24" max="24" width="56" customWidth="1"/>
    <col min="25" max="25" width="15.42578125" customWidth="1"/>
    <col min="26" max="26" width="14.42578125" customWidth="1"/>
    <col min="27" max="27" width="15.85546875" customWidth="1"/>
    <col min="37" max="37" width="32" customWidth="1"/>
    <col min="39" max="39" width="40.140625" customWidth="1"/>
    <col min="40" max="40" width="27.85546875" customWidth="1"/>
    <col min="41" max="41" width="43.5703125" customWidth="1"/>
    <col min="43" max="43" width="18.7109375" customWidth="1"/>
    <col min="73" max="73" width="14.7109375" customWidth="1"/>
    <col min="76" max="76" width="42" customWidth="1"/>
  </cols>
  <sheetData>
    <row r="1" spans="1:85" ht="12.75" x14ac:dyDescent="0.2">
      <c r="A1" s="18" t="s">
        <v>39</v>
      </c>
      <c r="B1" s="19" t="s">
        <v>40</v>
      </c>
      <c r="C1" s="19" t="s">
        <v>41</v>
      </c>
      <c r="D1" s="18" t="s">
        <v>42</v>
      </c>
      <c r="E1" s="18" t="s">
        <v>43</v>
      </c>
      <c r="F1" s="20" t="s">
        <v>44</v>
      </c>
      <c r="G1" s="18" t="s">
        <v>45</v>
      </c>
      <c r="H1" s="20" t="s">
        <v>46</v>
      </c>
      <c r="I1" s="18" t="s">
        <v>47</v>
      </c>
      <c r="J1" s="21" t="s">
        <v>48</v>
      </c>
      <c r="K1" s="22" t="s">
        <v>49</v>
      </c>
      <c r="L1" s="20" t="s">
        <v>50</v>
      </c>
      <c r="M1" s="20" t="s">
        <v>51</v>
      </c>
      <c r="N1" s="20" t="s">
        <v>52</v>
      </c>
      <c r="O1" s="20" t="s">
        <v>53</v>
      </c>
      <c r="P1" s="20" t="s">
        <v>54</v>
      </c>
      <c r="Q1" s="23" t="s">
        <v>55</v>
      </c>
      <c r="R1" s="23" t="s">
        <v>56</v>
      </c>
      <c r="S1" s="23" t="s">
        <v>57</v>
      </c>
      <c r="T1" s="23" t="s">
        <v>58</v>
      </c>
      <c r="U1" s="23" t="s">
        <v>59</v>
      </c>
      <c r="V1" s="23" t="s">
        <v>60</v>
      </c>
      <c r="W1" s="23" t="s">
        <v>61</v>
      </c>
      <c r="X1" s="24" t="s">
        <v>62</v>
      </c>
      <c r="Y1" s="24" t="s">
        <v>63</v>
      </c>
      <c r="Z1" s="24" t="s">
        <v>64</v>
      </c>
      <c r="AA1" s="24" t="s">
        <v>65</v>
      </c>
      <c r="AB1" s="24" t="s">
        <v>66</v>
      </c>
      <c r="AC1" s="24" t="s">
        <v>67</v>
      </c>
      <c r="AD1" s="24" t="s">
        <v>68</v>
      </c>
      <c r="AE1" s="24" t="s">
        <v>69</v>
      </c>
      <c r="AF1" s="24" t="s">
        <v>70</v>
      </c>
      <c r="AG1" s="24" t="s">
        <v>71</v>
      </c>
      <c r="AH1" s="24" t="s">
        <v>72</v>
      </c>
      <c r="AI1" s="24" t="s">
        <v>73</v>
      </c>
      <c r="AJ1" s="24" t="s">
        <v>74</v>
      </c>
      <c r="AK1" s="24" t="s">
        <v>75</v>
      </c>
      <c r="AL1" s="24" t="s">
        <v>76</v>
      </c>
      <c r="AM1" s="24" t="s">
        <v>77</v>
      </c>
      <c r="AN1" s="24" t="s">
        <v>78</v>
      </c>
      <c r="AO1" s="24" t="s">
        <v>79</v>
      </c>
      <c r="AP1" s="24" t="s">
        <v>80</v>
      </c>
      <c r="AQ1" s="24" t="s">
        <v>81</v>
      </c>
      <c r="AR1" s="24" t="s">
        <v>82</v>
      </c>
      <c r="AS1" s="24" t="s">
        <v>83</v>
      </c>
      <c r="AT1" s="24" t="s">
        <v>84</v>
      </c>
      <c r="AU1" s="24" t="s">
        <v>85</v>
      </c>
      <c r="AV1" s="24" t="s">
        <v>86</v>
      </c>
      <c r="AW1" s="24" t="s">
        <v>87</v>
      </c>
      <c r="AX1" s="24" t="s">
        <v>88</v>
      </c>
      <c r="AY1" s="24" t="s">
        <v>89</v>
      </c>
      <c r="AZ1" s="24" t="s">
        <v>90</v>
      </c>
      <c r="BA1" s="24" t="s">
        <v>91</v>
      </c>
      <c r="BB1" s="24" t="s">
        <v>92</v>
      </c>
      <c r="BC1" s="24" t="s">
        <v>93</v>
      </c>
      <c r="BD1" s="24" t="s">
        <v>94</v>
      </c>
      <c r="BE1" s="24" t="s">
        <v>95</v>
      </c>
      <c r="BF1" s="24" t="s">
        <v>96</v>
      </c>
      <c r="BG1" s="24" t="s">
        <v>97</v>
      </c>
      <c r="BH1" s="24" t="s">
        <v>98</v>
      </c>
      <c r="BI1" s="24" t="s">
        <v>99</v>
      </c>
      <c r="BJ1" s="24" t="s">
        <v>100</v>
      </c>
      <c r="BK1" s="24" t="s">
        <v>101</v>
      </c>
      <c r="BL1" s="24" t="s">
        <v>102</v>
      </c>
      <c r="BM1" s="24" t="s">
        <v>103</v>
      </c>
      <c r="BN1" s="24" t="s">
        <v>104</v>
      </c>
      <c r="BO1" s="24" t="s">
        <v>105</v>
      </c>
      <c r="BP1" s="24" t="s">
        <v>106</v>
      </c>
      <c r="BQ1" s="24" t="s">
        <v>107</v>
      </c>
      <c r="BR1" s="24" t="s">
        <v>108</v>
      </c>
      <c r="BS1" s="24" t="s">
        <v>109</v>
      </c>
      <c r="BT1" s="24" t="s">
        <v>110</v>
      </c>
      <c r="BU1" s="25" t="s">
        <v>111</v>
      </c>
      <c r="BV1" s="26" t="s">
        <v>112</v>
      </c>
      <c r="BW1" s="27"/>
      <c r="BX1" s="26" t="s">
        <v>113</v>
      </c>
      <c r="BY1" s="28" t="e">
        <f>LEFT(BX1, LEN(BX1)-6+FIND(".", RIGHT(BX1,5), 1))&amp;"_w256.webp"</f>
        <v>#VALUE!</v>
      </c>
      <c r="BZ1" s="29" t="s">
        <v>114</v>
      </c>
      <c r="CA1" s="29" t="s">
        <v>115</v>
      </c>
      <c r="CB1" s="27"/>
      <c r="CC1" s="27"/>
      <c r="CD1" s="27"/>
      <c r="CE1" s="27"/>
      <c r="CF1" s="27"/>
      <c r="CG1" s="27"/>
    </row>
    <row r="2" spans="1:85" ht="15.75" customHeight="1" x14ac:dyDescent="0.2">
      <c r="A2" s="30" t="b">
        <v>1</v>
      </c>
      <c r="B2" s="31" t="s">
        <v>116</v>
      </c>
      <c r="C2" s="32" t="s">
        <v>116</v>
      </c>
      <c r="D2" s="27" t="s">
        <v>117</v>
      </c>
      <c r="E2" s="33" t="s">
        <v>118</v>
      </c>
      <c r="F2" s="27" t="s">
        <v>119</v>
      </c>
      <c r="G2" s="27" t="str">
        <f t="shared" ref="G2:G92" si="0">F2</f>
        <v>NDH_W128.webp</v>
      </c>
      <c r="H2" s="27" t="s">
        <v>120</v>
      </c>
      <c r="I2" s="33" t="s">
        <v>121</v>
      </c>
      <c r="J2" s="33" t="s">
        <v>122</v>
      </c>
      <c r="K2" s="34" t="s">
        <v>123</v>
      </c>
      <c r="L2" s="26" t="s">
        <v>124</v>
      </c>
      <c r="M2" s="27" t="s">
        <v>125</v>
      </c>
      <c r="N2" s="35" t="s">
        <v>126</v>
      </c>
      <c r="O2" s="27"/>
      <c r="P2" s="27"/>
      <c r="Q2" s="36" t="s">
        <v>127</v>
      </c>
      <c r="R2" s="36" t="s">
        <v>128</v>
      </c>
      <c r="S2" s="36" t="s">
        <v>127</v>
      </c>
      <c r="T2" s="36" t="s">
        <v>129</v>
      </c>
      <c r="U2" s="36" t="s">
        <v>129</v>
      </c>
      <c r="V2" s="36"/>
      <c r="W2" s="37" t="str">
        <f t="shared" ref="W2:W6" si="1">Y2</f>
        <v>https://fb.com/NuocGiaiKhatBidrico</v>
      </c>
      <c r="X2" s="35" t="s">
        <v>130</v>
      </c>
      <c r="Y2" s="38" t="s">
        <v>131</v>
      </c>
      <c r="Z2" s="28"/>
      <c r="AA2" s="35" t="s">
        <v>132</v>
      </c>
      <c r="AB2" s="35"/>
      <c r="AC2" s="39" t="s">
        <v>133</v>
      </c>
      <c r="AD2" s="40" t="s">
        <v>134</v>
      </c>
      <c r="AE2" s="19" t="s">
        <v>135</v>
      </c>
      <c r="AF2" s="19" t="s">
        <v>136</v>
      </c>
      <c r="AG2" s="19" t="s">
        <v>137</v>
      </c>
      <c r="AH2" s="19" t="s">
        <v>138</v>
      </c>
      <c r="AI2" s="19" t="s">
        <v>139</v>
      </c>
      <c r="AJ2" s="19" t="s">
        <v>140</v>
      </c>
      <c r="AK2" s="41"/>
      <c r="AL2" s="41"/>
      <c r="AM2" s="27" t="s">
        <v>141</v>
      </c>
      <c r="AN2" s="27" t="s">
        <v>142</v>
      </c>
      <c r="AO2" s="26" t="s">
        <v>143</v>
      </c>
      <c r="AP2" s="27" t="s">
        <v>144</v>
      </c>
      <c r="AQ2" s="27" t="s">
        <v>145</v>
      </c>
      <c r="AR2" s="27" t="s">
        <v>146</v>
      </c>
      <c r="AS2" s="27" t="s">
        <v>147</v>
      </c>
      <c r="AT2" s="27" t="s">
        <v>148</v>
      </c>
      <c r="AU2" s="27" t="s">
        <v>149</v>
      </c>
      <c r="AV2" s="18"/>
      <c r="AW2" s="27"/>
      <c r="AX2" s="27"/>
      <c r="AY2" s="28"/>
      <c r="AZ2" s="28"/>
      <c r="BA2" s="28"/>
      <c r="BB2" s="28"/>
      <c r="BC2" s="28"/>
      <c r="BD2" s="28"/>
      <c r="BE2" s="28"/>
      <c r="BF2" s="28"/>
      <c r="BG2" s="28"/>
      <c r="BH2" s="28"/>
      <c r="BI2" s="28"/>
      <c r="BJ2" s="28"/>
      <c r="BK2" s="28"/>
      <c r="BL2" s="28"/>
      <c r="BM2" s="28"/>
      <c r="BN2" s="28"/>
      <c r="BO2" s="28"/>
      <c r="BP2" s="28"/>
      <c r="BQ2" s="28"/>
      <c r="BR2" s="28"/>
      <c r="BS2" s="36"/>
      <c r="BT2" s="26" t="s">
        <v>150</v>
      </c>
      <c r="BU2" s="42" t="s">
        <v>151</v>
      </c>
      <c r="BV2" s="28" t="e">
        <f t="shared" ref="BV2:BV123" ca="1" si="2">p_LayTTDN(K2)</f>
        <v>#NAME?</v>
      </c>
      <c r="BW2" s="28"/>
      <c r="BX2" s="26" t="str">
        <f t="shared" ref="BX2:BX6" si="3">L2</f>
        <v>channels4_profile.jpg</v>
      </c>
      <c r="BY2" s="28" t="s">
        <v>152</v>
      </c>
      <c r="BZ2" s="27" t="s">
        <v>119</v>
      </c>
      <c r="CA2" s="26" t="s">
        <v>124</v>
      </c>
      <c r="CB2" s="28"/>
      <c r="CC2" s="28"/>
      <c r="CD2" s="28"/>
      <c r="CE2" s="28"/>
      <c r="CF2" s="28"/>
      <c r="CG2" s="28"/>
    </row>
    <row r="3" spans="1:85" ht="15.75" customHeight="1" x14ac:dyDescent="0.2">
      <c r="A3" s="27" t="b">
        <v>1</v>
      </c>
      <c r="B3" s="31" t="s">
        <v>153</v>
      </c>
      <c r="C3" s="32" t="s">
        <v>153</v>
      </c>
      <c r="D3" s="27" t="s">
        <v>117</v>
      </c>
      <c r="E3" s="43" t="s">
        <v>154</v>
      </c>
      <c r="F3" s="27" t="s">
        <v>155</v>
      </c>
      <c r="G3" s="27" t="str">
        <f t="shared" si="0"/>
        <v>DungHX2006-removebg-preview_w256.webp</v>
      </c>
      <c r="H3" s="26" t="s">
        <v>156</v>
      </c>
      <c r="I3" s="44" t="e">
        <f ca="1">LEFT(BV3, FIND(CHAR(10), BV3, 1)-1)</f>
        <v>#NAME?</v>
      </c>
      <c r="J3" s="43" t="s">
        <v>157</v>
      </c>
      <c r="K3" s="45" t="s">
        <v>158</v>
      </c>
      <c r="L3" s="26" t="s">
        <v>159</v>
      </c>
      <c r="M3" s="46" t="s">
        <v>160</v>
      </c>
      <c r="N3" s="35" t="s">
        <v>161</v>
      </c>
      <c r="O3" s="28"/>
      <c r="P3" s="28"/>
      <c r="Q3" s="36" t="s">
        <v>162</v>
      </c>
      <c r="R3" s="36" t="s">
        <v>163</v>
      </c>
      <c r="S3" s="36" t="s">
        <v>162</v>
      </c>
      <c r="T3" s="36" t="s">
        <v>164</v>
      </c>
      <c r="U3" s="36" t="s">
        <v>164</v>
      </c>
      <c r="V3" s="36"/>
      <c r="W3" s="47">
        <f t="shared" si="1"/>
        <v>0</v>
      </c>
      <c r="X3" s="35" t="s">
        <v>165</v>
      </c>
      <c r="Y3" s="28"/>
      <c r="Z3" s="28"/>
      <c r="AA3" s="28"/>
      <c r="AB3" s="35"/>
      <c r="AC3" s="48" t="s">
        <v>166</v>
      </c>
      <c r="AD3" s="48" t="s">
        <v>167</v>
      </c>
      <c r="AE3" s="49" t="s">
        <v>168</v>
      </c>
      <c r="AF3" s="49" t="s">
        <v>169</v>
      </c>
      <c r="AG3" s="41"/>
      <c r="AH3" s="41"/>
      <c r="AI3" s="41"/>
      <c r="AJ3" s="18"/>
      <c r="AK3" s="41"/>
      <c r="AL3" s="41"/>
      <c r="AM3" s="49" t="s">
        <v>170</v>
      </c>
      <c r="AN3" s="27" t="s">
        <v>171</v>
      </c>
      <c r="AO3" s="27" t="s">
        <v>172</v>
      </c>
      <c r="AP3" s="27"/>
      <c r="AQ3" s="27"/>
      <c r="AR3" s="27"/>
      <c r="AS3" s="27"/>
      <c r="AT3" s="27"/>
      <c r="AU3" s="27"/>
      <c r="AV3" s="27"/>
      <c r="AW3" s="27"/>
      <c r="AX3" s="27"/>
      <c r="AY3" s="28"/>
      <c r="AZ3" s="28"/>
      <c r="BA3" s="28"/>
      <c r="BB3" s="28"/>
      <c r="BC3" s="28"/>
      <c r="BD3" s="28"/>
      <c r="BE3" s="28"/>
      <c r="BF3" s="28"/>
      <c r="BG3" s="28"/>
      <c r="BH3" s="28"/>
      <c r="BI3" s="28"/>
      <c r="BJ3" s="28"/>
      <c r="BK3" s="28"/>
      <c r="BL3" s="28"/>
      <c r="BM3" s="28"/>
      <c r="BN3" s="28"/>
      <c r="BO3" s="28"/>
      <c r="BP3" s="28"/>
      <c r="BQ3" s="28"/>
      <c r="BR3" s="28"/>
      <c r="BS3" s="36"/>
      <c r="BT3" s="27" t="s">
        <v>173</v>
      </c>
      <c r="BU3" s="42" t="s">
        <v>151</v>
      </c>
      <c r="BV3" s="28" t="e">
        <f t="shared" ca="1" si="2"/>
        <v>#NAME?</v>
      </c>
      <c r="BW3" s="28"/>
      <c r="BX3" s="26" t="str">
        <f t="shared" si="3"/>
        <v>Final-logo-outline-SVs.png</v>
      </c>
      <c r="BY3" s="28" t="s">
        <v>174</v>
      </c>
      <c r="BZ3" s="27" t="s">
        <v>155</v>
      </c>
      <c r="CA3" s="26" t="s">
        <v>159</v>
      </c>
      <c r="CB3" s="28"/>
      <c r="CC3" s="28"/>
      <c r="CD3" s="28"/>
      <c r="CE3" s="28"/>
      <c r="CF3" s="28"/>
      <c r="CG3" s="28"/>
    </row>
    <row r="4" spans="1:85" ht="15.75" customHeight="1" x14ac:dyDescent="0.2">
      <c r="A4" s="30" t="b">
        <v>1</v>
      </c>
      <c r="B4" s="31" t="s">
        <v>175</v>
      </c>
      <c r="C4" s="50" t="s">
        <v>176</v>
      </c>
      <c r="D4" s="27" t="s">
        <v>117</v>
      </c>
      <c r="E4" s="51" t="s">
        <v>177</v>
      </c>
      <c r="F4" s="27" t="s">
        <v>178</v>
      </c>
      <c r="G4" s="27" t="str">
        <f t="shared" si="0"/>
        <v>Toan_W128 (1).webp</v>
      </c>
      <c r="H4" s="26" t="s">
        <v>179</v>
      </c>
      <c r="I4" s="51" t="s">
        <v>180</v>
      </c>
      <c r="J4" s="52" t="s">
        <v>181</v>
      </c>
      <c r="K4" s="34" t="s">
        <v>182</v>
      </c>
      <c r="L4" s="26" t="s">
        <v>183</v>
      </c>
      <c r="M4" s="53" t="s">
        <v>184</v>
      </c>
      <c r="N4" s="54" t="e">
        <f ca="1">p_GMapLink(M4)</f>
        <v>#NAME?</v>
      </c>
      <c r="O4" s="28"/>
      <c r="P4" s="28"/>
      <c r="Q4" s="36" t="s">
        <v>185</v>
      </c>
      <c r="R4" s="36" t="s">
        <v>186</v>
      </c>
      <c r="S4" s="36" t="s">
        <v>185</v>
      </c>
      <c r="T4" s="36" t="s">
        <v>187</v>
      </c>
      <c r="U4" s="36" t="s">
        <v>187</v>
      </c>
      <c r="V4" s="36"/>
      <c r="W4" s="47">
        <f t="shared" si="1"/>
        <v>0</v>
      </c>
      <c r="X4" s="35" t="s">
        <v>188</v>
      </c>
      <c r="Y4" s="28"/>
      <c r="Z4" s="28"/>
      <c r="AA4" s="35" t="s">
        <v>132</v>
      </c>
      <c r="AB4" s="35"/>
      <c r="AC4" s="39" t="s">
        <v>189</v>
      </c>
      <c r="AD4" s="40" t="s">
        <v>190</v>
      </c>
      <c r="AE4" s="19" t="s">
        <v>191</v>
      </c>
      <c r="AF4" s="19" t="s">
        <v>192</v>
      </c>
      <c r="AG4" s="19" t="s">
        <v>193</v>
      </c>
      <c r="AH4" s="19" t="s">
        <v>194</v>
      </c>
      <c r="AI4" s="19" t="s">
        <v>195</v>
      </c>
      <c r="AJ4" s="19" t="s">
        <v>196</v>
      </c>
      <c r="AK4" s="41"/>
      <c r="AL4" s="41"/>
      <c r="AM4" s="19" t="s">
        <v>197</v>
      </c>
      <c r="AN4" s="27"/>
      <c r="AO4" s="26" t="s">
        <v>198</v>
      </c>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36"/>
      <c r="BT4" s="26" t="s">
        <v>150</v>
      </c>
      <c r="BU4" s="42" t="s">
        <v>151</v>
      </c>
      <c r="BV4" s="28" t="e">
        <f t="shared" ca="1" si="2"/>
        <v>#NAME?</v>
      </c>
      <c r="BW4" s="28"/>
      <c r="BX4" s="26" t="str">
        <f t="shared" si="3"/>
        <v>khangvietbook.png</v>
      </c>
      <c r="BY4" s="28" t="s">
        <v>199</v>
      </c>
      <c r="BZ4" s="27" t="s">
        <v>178</v>
      </c>
      <c r="CA4" s="26" t="s">
        <v>183</v>
      </c>
      <c r="CB4" s="28"/>
      <c r="CC4" s="28"/>
      <c r="CD4" s="28"/>
      <c r="CE4" s="28"/>
      <c r="CF4" s="28"/>
      <c r="CG4" s="28"/>
    </row>
    <row r="5" spans="1:85" ht="15.75" customHeight="1" x14ac:dyDescent="0.2">
      <c r="A5" s="27" t="b">
        <v>1</v>
      </c>
      <c r="B5" s="31" t="s">
        <v>200</v>
      </c>
      <c r="C5" s="32" t="s">
        <v>200</v>
      </c>
      <c r="D5" s="26"/>
      <c r="E5" s="55" t="s">
        <v>201</v>
      </c>
      <c r="F5" s="27" t="s">
        <v>202</v>
      </c>
      <c r="G5" s="27" t="str">
        <f t="shared" si="0"/>
        <v>Ky2_w256.webp</v>
      </c>
      <c r="H5" s="26" t="s">
        <v>203</v>
      </c>
      <c r="I5" s="55" t="s">
        <v>204</v>
      </c>
      <c r="J5" s="55" t="s">
        <v>205</v>
      </c>
      <c r="K5" s="56" t="s">
        <v>206</v>
      </c>
      <c r="L5" s="26" t="s">
        <v>207</v>
      </c>
      <c r="M5" s="53" t="s">
        <v>208</v>
      </c>
      <c r="N5" s="38" t="s">
        <v>209</v>
      </c>
      <c r="O5" s="28"/>
      <c r="P5" s="28"/>
      <c r="Q5" s="36" t="s">
        <v>210</v>
      </c>
      <c r="R5" s="36" t="s">
        <v>211</v>
      </c>
      <c r="S5" s="36" t="s">
        <v>210</v>
      </c>
      <c r="T5" s="36" t="s">
        <v>212</v>
      </c>
      <c r="U5" s="36" t="s">
        <v>212</v>
      </c>
      <c r="V5" s="36"/>
      <c r="W5" s="37" t="str">
        <f t="shared" si="1"/>
        <v>https://fb.com/share/1DPnpa2ATP</v>
      </c>
      <c r="X5" s="35" t="e">
        <f>IF(ISERROR(VLOOKUP(E5,#REF!, 9, FALSE)), VLOOKUP(Q5,#REF!, 16, FALSE), VLOOKUP(E5,#REF!, 9, FALSE))</f>
        <v>#REF!</v>
      </c>
      <c r="Y5" s="57" t="s">
        <v>213</v>
      </c>
      <c r="Z5" s="28" t="s">
        <v>214</v>
      </c>
      <c r="AA5" s="28"/>
      <c r="AB5" s="35" t="s">
        <v>215</v>
      </c>
      <c r="AC5" s="58" t="s">
        <v>216</v>
      </c>
      <c r="AD5" s="53" t="s">
        <v>217</v>
      </c>
      <c r="AE5" s="53" t="s">
        <v>218</v>
      </c>
      <c r="AF5" s="53" t="s">
        <v>219</v>
      </c>
      <c r="AG5" s="53" t="s">
        <v>220</v>
      </c>
      <c r="AH5" s="53" t="s">
        <v>221</v>
      </c>
      <c r="AI5" s="40" t="s">
        <v>222</v>
      </c>
      <c r="AJ5" s="53" t="s">
        <v>223</v>
      </c>
      <c r="AK5" s="41"/>
      <c r="AL5" s="41"/>
      <c r="AM5" s="26" t="s">
        <v>224</v>
      </c>
      <c r="AN5" s="26" t="s">
        <v>225</v>
      </c>
      <c r="AO5" s="26" t="s">
        <v>226</v>
      </c>
      <c r="AP5" s="26" t="s">
        <v>227</v>
      </c>
      <c r="AQ5" s="26" t="s">
        <v>228</v>
      </c>
      <c r="AR5" s="27"/>
      <c r="AS5" s="27"/>
      <c r="AT5" s="27"/>
      <c r="AU5" s="27"/>
      <c r="AV5" s="27"/>
      <c r="AW5" s="27"/>
      <c r="AX5" s="27"/>
      <c r="AY5" s="28"/>
      <c r="AZ5" s="28"/>
      <c r="BA5" s="28"/>
      <c r="BB5" s="28"/>
      <c r="BC5" s="28"/>
      <c r="BD5" s="28"/>
      <c r="BE5" s="28"/>
      <c r="BF5" s="28"/>
      <c r="BG5" s="28"/>
      <c r="BH5" s="28"/>
      <c r="BI5" s="28"/>
      <c r="BJ5" s="28"/>
      <c r="BK5" s="28"/>
      <c r="BL5" s="28"/>
      <c r="BM5" s="28"/>
      <c r="BN5" s="28"/>
      <c r="BO5" s="28"/>
      <c r="BP5" s="28"/>
      <c r="BQ5" s="28"/>
      <c r="BR5" s="28"/>
      <c r="BS5" s="36"/>
      <c r="BT5" s="27" t="s">
        <v>173</v>
      </c>
      <c r="BU5" s="42" t="s">
        <v>151</v>
      </c>
      <c r="BV5" s="28" t="e">
        <f t="shared" ca="1" si="2"/>
        <v>#NAME?</v>
      </c>
      <c r="BW5" s="28"/>
      <c r="BX5" s="26" t="str">
        <f t="shared" si="3"/>
        <v>9e0641cd-1b04-4301-a2e8-0720484a70c0.jpg</v>
      </c>
      <c r="BY5" s="28" t="s">
        <v>229</v>
      </c>
      <c r="BZ5" s="26" t="s">
        <v>230</v>
      </c>
      <c r="CA5" s="26" t="s">
        <v>207</v>
      </c>
      <c r="CB5" s="28"/>
      <c r="CC5" s="28"/>
      <c r="CD5" s="28"/>
      <c r="CE5" s="28"/>
      <c r="CF5" s="28"/>
      <c r="CG5" s="28"/>
    </row>
    <row r="6" spans="1:85" ht="15.75" customHeight="1" x14ac:dyDescent="0.2">
      <c r="A6" s="27" t="b">
        <v>1</v>
      </c>
      <c r="B6" s="31" t="s">
        <v>231</v>
      </c>
      <c r="C6" s="32" t="s">
        <v>231</v>
      </c>
      <c r="D6" s="27" t="s">
        <v>117</v>
      </c>
      <c r="E6" s="33" t="s">
        <v>232</v>
      </c>
      <c r="F6" s="27" t="s">
        <v>233</v>
      </c>
      <c r="G6" s="27" t="str">
        <f t="shared" si="0"/>
        <v>LeMinhPhung_w256.webp</v>
      </c>
      <c r="H6" s="26" t="s">
        <v>234</v>
      </c>
      <c r="I6" s="33" t="s">
        <v>235</v>
      </c>
      <c r="J6" s="33" t="s">
        <v>236</v>
      </c>
      <c r="K6" s="34" t="s">
        <v>237</v>
      </c>
      <c r="L6" s="27" t="s">
        <v>238</v>
      </c>
      <c r="M6" s="59" t="s">
        <v>239</v>
      </c>
      <c r="N6" s="60" t="s">
        <v>240</v>
      </c>
      <c r="O6" s="59" t="s">
        <v>241</v>
      </c>
      <c r="P6" s="60" t="s">
        <v>242</v>
      </c>
      <c r="Q6" s="36" t="s">
        <v>243</v>
      </c>
      <c r="R6" s="61" t="s">
        <v>244</v>
      </c>
      <c r="S6" s="36" t="s">
        <v>243</v>
      </c>
      <c r="T6" s="36" t="s">
        <v>245</v>
      </c>
      <c r="U6" s="36" t="s">
        <v>245</v>
      </c>
      <c r="V6" s="36"/>
      <c r="W6" s="47">
        <f t="shared" si="1"/>
        <v>0</v>
      </c>
      <c r="X6" s="62" t="s">
        <v>246</v>
      </c>
      <c r="Y6" s="28"/>
      <c r="Z6" s="28"/>
      <c r="AA6" s="28"/>
      <c r="AB6" s="35"/>
      <c r="AC6" s="63" t="s">
        <v>247</v>
      </c>
      <c r="AD6" s="59" t="s">
        <v>248</v>
      </c>
      <c r="AE6" s="64" t="s">
        <v>249</v>
      </c>
      <c r="AF6" s="59" t="s">
        <v>250</v>
      </c>
      <c r="AG6" s="59" t="s">
        <v>251</v>
      </c>
      <c r="AH6" s="59" t="s">
        <v>252</v>
      </c>
      <c r="AI6" s="41"/>
      <c r="AJ6" s="41"/>
      <c r="AK6" s="41"/>
      <c r="AL6" s="41"/>
      <c r="AM6" s="27" t="s">
        <v>253</v>
      </c>
      <c r="AN6" s="27" t="s">
        <v>254</v>
      </c>
      <c r="AO6" s="27" t="s">
        <v>255</v>
      </c>
      <c r="AP6" s="27"/>
      <c r="AQ6" s="27"/>
      <c r="AR6" s="27"/>
      <c r="AS6" s="27"/>
      <c r="AT6" s="27"/>
      <c r="AU6" s="27"/>
      <c r="AV6" s="27"/>
      <c r="AW6" s="27"/>
      <c r="AX6" s="27"/>
      <c r="AY6" s="28"/>
      <c r="AZ6" s="28"/>
      <c r="BA6" s="28"/>
      <c r="BB6" s="28"/>
      <c r="BC6" s="28"/>
      <c r="BD6" s="28"/>
      <c r="BE6" s="28"/>
      <c r="BF6" s="28"/>
      <c r="BG6" s="28"/>
      <c r="BH6" s="28"/>
      <c r="BI6" s="28"/>
      <c r="BJ6" s="28"/>
      <c r="BK6" s="28"/>
      <c r="BL6" s="28"/>
      <c r="BM6" s="28"/>
      <c r="BN6" s="28"/>
      <c r="BO6" s="28"/>
      <c r="BP6" s="28"/>
      <c r="BQ6" s="28"/>
      <c r="BR6" s="28"/>
      <c r="BS6" s="36"/>
      <c r="BT6" s="27" t="s">
        <v>173</v>
      </c>
      <c r="BU6" s="42" t="s">
        <v>151</v>
      </c>
      <c r="BV6" s="28" t="e">
        <f t="shared" ca="1" si="2"/>
        <v>#NAME?</v>
      </c>
      <c r="BW6" s="28"/>
      <c r="BX6" s="26" t="str">
        <f t="shared" si="3"/>
        <v>Screenshot 2026-03-15 231255.png</v>
      </c>
      <c r="BY6" s="28" t="s">
        <v>256</v>
      </c>
      <c r="BZ6" s="27" t="s">
        <v>257</v>
      </c>
      <c r="CA6" s="27" t="s">
        <v>238</v>
      </c>
      <c r="CB6" s="28"/>
      <c r="CC6" s="28"/>
      <c r="CD6" s="28"/>
      <c r="CE6" s="28"/>
      <c r="CF6" s="28"/>
      <c r="CG6" s="28"/>
    </row>
    <row r="7" spans="1:85" ht="15.75" customHeight="1" x14ac:dyDescent="0.2">
      <c r="A7" s="27" t="b">
        <v>1</v>
      </c>
      <c r="B7" s="31" t="s">
        <v>258</v>
      </c>
      <c r="C7" s="32" t="s">
        <v>258</v>
      </c>
      <c r="D7" s="27" t="s">
        <v>117</v>
      </c>
      <c r="E7" s="43" t="s">
        <v>259</v>
      </c>
      <c r="F7" s="27" t="s">
        <v>260</v>
      </c>
      <c r="G7" s="27" t="str">
        <f t="shared" si="0"/>
        <v>Trung_W128.webp</v>
      </c>
      <c r="H7" s="26" t="s">
        <v>261</v>
      </c>
      <c r="I7" s="43" t="s">
        <v>262</v>
      </c>
      <c r="J7" s="43" t="s">
        <v>263</v>
      </c>
      <c r="K7" s="45" t="s">
        <v>264</v>
      </c>
      <c r="L7" s="27" t="s">
        <v>265</v>
      </c>
      <c r="M7" s="46" t="s">
        <v>266</v>
      </c>
      <c r="N7" s="35" t="s">
        <v>267</v>
      </c>
      <c r="O7" s="27" t="s">
        <v>268</v>
      </c>
      <c r="P7" s="35" t="s">
        <v>269</v>
      </c>
      <c r="Q7" s="36" t="s">
        <v>270</v>
      </c>
      <c r="R7" s="36" t="s">
        <v>271</v>
      </c>
      <c r="S7" s="36" t="s">
        <v>270</v>
      </c>
      <c r="T7" s="36" t="s">
        <v>272</v>
      </c>
      <c r="U7" s="36" t="s">
        <v>272</v>
      </c>
      <c r="V7" s="36"/>
      <c r="W7" s="47" t="s">
        <v>273</v>
      </c>
      <c r="X7" s="35" t="s">
        <v>274</v>
      </c>
      <c r="Y7" s="57" t="s">
        <v>275</v>
      </c>
      <c r="Z7" s="28"/>
      <c r="AA7" s="28"/>
      <c r="AB7" s="35"/>
      <c r="AC7" s="65" t="s">
        <v>276</v>
      </c>
      <c r="AD7" s="66" t="s">
        <v>277</v>
      </c>
      <c r="AE7" s="49" t="s">
        <v>278</v>
      </c>
      <c r="AF7" s="67" t="s">
        <v>279</v>
      </c>
      <c r="AG7" s="67" t="s">
        <v>280</v>
      </c>
      <c r="AH7" s="46" t="s">
        <v>281</v>
      </c>
      <c r="AI7" s="46"/>
      <c r="AJ7" s="41"/>
      <c r="AK7" s="41"/>
      <c r="AL7" s="41"/>
      <c r="AM7" s="27" t="s">
        <v>282</v>
      </c>
      <c r="AN7" s="27" t="s">
        <v>283</v>
      </c>
      <c r="AO7" s="27" t="s">
        <v>284</v>
      </c>
      <c r="AP7" s="27" t="s">
        <v>285</v>
      </c>
      <c r="AQ7" s="27" t="s">
        <v>286</v>
      </c>
      <c r="AR7" s="27" t="s">
        <v>287</v>
      </c>
      <c r="AS7" s="27" t="s">
        <v>288</v>
      </c>
      <c r="AT7" s="27" t="s">
        <v>289</v>
      </c>
      <c r="AU7" s="27" t="s">
        <v>290</v>
      </c>
      <c r="AV7" s="27" t="s">
        <v>291</v>
      </c>
      <c r="AW7" s="27" t="s">
        <v>292</v>
      </c>
      <c r="AX7" s="27" t="s">
        <v>293</v>
      </c>
      <c r="AY7" s="18"/>
      <c r="AZ7" s="28"/>
      <c r="BA7" s="28"/>
      <c r="BB7" s="28"/>
      <c r="BC7" s="28"/>
      <c r="BD7" s="28"/>
      <c r="BE7" s="28"/>
      <c r="BF7" s="28"/>
      <c r="BG7" s="28"/>
      <c r="BH7" s="28"/>
      <c r="BI7" s="28"/>
      <c r="BJ7" s="28"/>
      <c r="BK7" s="28"/>
      <c r="BL7" s="28"/>
      <c r="BM7" s="28"/>
      <c r="BN7" s="28"/>
      <c r="BO7" s="28"/>
      <c r="BP7" s="28"/>
      <c r="BQ7" s="28"/>
      <c r="BR7" s="28"/>
      <c r="BS7" s="36"/>
      <c r="BT7" s="27" t="s">
        <v>294</v>
      </c>
      <c r="BU7" s="42" t="s">
        <v>151</v>
      </c>
      <c r="BV7" s="28" t="e">
        <f t="shared" ca="1" si="2"/>
        <v>#NAME?</v>
      </c>
      <c r="BW7" s="28"/>
      <c r="BX7" s="28"/>
      <c r="BY7" s="28"/>
      <c r="BZ7" s="27" t="s">
        <v>260</v>
      </c>
      <c r="CA7" s="27" t="s">
        <v>265</v>
      </c>
      <c r="CB7" s="28"/>
      <c r="CC7" s="28"/>
      <c r="CD7" s="28"/>
      <c r="CE7" s="28"/>
      <c r="CF7" s="28"/>
      <c r="CG7" s="28"/>
    </row>
    <row r="8" spans="1:85" ht="15.75" customHeight="1" x14ac:dyDescent="0.2">
      <c r="A8" s="30" t="b">
        <v>1</v>
      </c>
      <c r="B8" s="31" t="s">
        <v>295</v>
      </c>
      <c r="C8" s="32" t="s">
        <v>295</v>
      </c>
      <c r="D8" s="27" t="s">
        <v>117</v>
      </c>
      <c r="E8" s="33" t="s">
        <v>296</v>
      </c>
      <c r="F8" s="27" t="s">
        <v>297</v>
      </c>
      <c r="G8" s="27" t="str">
        <f t="shared" si="0"/>
        <v>Cau2_w256.webp</v>
      </c>
      <c r="H8" s="26" t="s">
        <v>298</v>
      </c>
      <c r="I8" s="33" t="s">
        <v>299</v>
      </c>
      <c r="J8" s="33" t="s">
        <v>300</v>
      </c>
      <c r="K8" s="34" t="s">
        <v>301</v>
      </c>
      <c r="L8" s="26" t="s">
        <v>302</v>
      </c>
      <c r="M8" s="53" t="s">
        <v>303</v>
      </c>
      <c r="N8" s="54" t="e">
        <f t="shared" ref="N8:N9" ca="1" si="4">p_GMapLink(M8)</f>
        <v>#NAME?</v>
      </c>
      <c r="O8" s="28"/>
      <c r="P8" s="28"/>
      <c r="Q8" s="36" t="s">
        <v>304</v>
      </c>
      <c r="R8" s="36" t="s">
        <v>305</v>
      </c>
      <c r="S8" s="36" t="s">
        <v>304</v>
      </c>
      <c r="T8" s="36" t="s">
        <v>306</v>
      </c>
      <c r="U8" s="36" t="s">
        <v>306</v>
      </c>
      <c r="V8" s="36"/>
      <c r="W8" s="47">
        <f>Y8</f>
        <v>0</v>
      </c>
      <c r="X8" s="35" t="s">
        <v>307</v>
      </c>
      <c r="Y8" s="28"/>
      <c r="Z8" s="28"/>
      <c r="AA8" s="35" t="s">
        <v>132</v>
      </c>
      <c r="AB8" s="35"/>
      <c r="AC8" s="40" t="s">
        <v>308</v>
      </c>
      <c r="AD8" s="68" t="s">
        <v>309</v>
      </c>
      <c r="AE8" s="53" t="s">
        <v>310</v>
      </c>
      <c r="AF8" s="53" t="s">
        <v>311</v>
      </c>
      <c r="AG8" s="19" t="s">
        <v>312</v>
      </c>
      <c r="AH8" s="53" t="s">
        <v>313</v>
      </c>
      <c r="AI8" s="53"/>
      <c r="AJ8" s="41"/>
      <c r="AK8" s="41"/>
      <c r="AL8" s="41"/>
      <c r="AM8" s="26" t="s">
        <v>314</v>
      </c>
      <c r="AN8" s="27" t="s">
        <v>315</v>
      </c>
      <c r="AO8" s="26" t="s">
        <v>316</v>
      </c>
      <c r="AP8" s="26" t="s">
        <v>317</v>
      </c>
      <c r="AQ8" s="26" t="s">
        <v>318</v>
      </c>
      <c r="AR8" s="26" t="s">
        <v>319</v>
      </c>
      <c r="AS8" s="27"/>
      <c r="AT8" s="27"/>
      <c r="AU8" s="27"/>
      <c r="AV8" s="27"/>
      <c r="AW8" s="27"/>
      <c r="AX8" s="27"/>
      <c r="AY8" s="28"/>
      <c r="AZ8" s="28"/>
      <c r="BA8" s="28"/>
      <c r="BB8" s="28"/>
      <c r="BC8" s="28"/>
      <c r="BD8" s="28"/>
      <c r="BE8" s="28"/>
      <c r="BF8" s="28"/>
      <c r="BG8" s="28"/>
      <c r="BH8" s="28"/>
      <c r="BI8" s="28"/>
      <c r="BJ8" s="28"/>
      <c r="BK8" s="28"/>
      <c r="BL8" s="28"/>
      <c r="BM8" s="28"/>
      <c r="BN8" s="28"/>
      <c r="BO8" s="28"/>
      <c r="BP8" s="28"/>
      <c r="BQ8" s="28"/>
      <c r="BR8" s="28"/>
      <c r="BS8" s="36"/>
      <c r="BT8" s="26" t="s">
        <v>150</v>
      </c>
      <c r="BU8" s="42" t="s">
        <v>151</v>
      </c>
      <c r="BV8" s="28" t="e">
        <f t="shared" ca="1" si="2"/>
        <v>#NAME?</v>
      </c>
      <c r="BW8" s="28"/>
      <c r="BX8" s="26" t="str">
        <f t="shared" ref="BX8:BX49" si="5">L8</f>
        <v>cropped-logo-web.jpeg</v>
      </c>
      <c r="BY8" s="28" t="s">
        <v>320</v>
      </c>
      <c r="BZ8" s="27" t="s">
        <v>321</v>
      </c>
      <c r="CA8" s="26" t="s">
        <v>302</v>
      </c>
      <c r="CB8" s="28"/>
      <c r="CC8" s="28"/>
      <c r="CD8" s="28"/>
      <c r="CE8" s="28"/>
      <c r="CF8" s="28"/>
      <c r="CG8" s="28"/>
    </row>
    <row r="9" spans="1:85" ht="15.75" customHeight="1" x14ac:dyDescent="0.2">
      <c r="A9" s="27" t="b">
        <v>1</v>
      </c>
      <c r="B9" s="31" t="s">
        <v>322</v>
      </c>
      <c r="C9" s="69" t="s">
        <v>323</v>
      </c>
      <c r="D9" s="27" t="s">
        <v>117</v>
      </c>
      <c r="E9" s="70" t="s">
        <v>324</v>
      </c>
      <c r="F9" s="27" t="s">
        <v>325</v>
      </c>
      <c r="G9" s="27" t="str">
        <f t="shared" si="0"/>
        <v>Binh_W128.webp</v>
      </c>
      <c r="H9" s="26" t="s">
        <v>326</v>
      </c>
      <c r="I9" s="70" t="s">
        <v>327</v>
      </c>
      <c r="J9" s="55" t="s">
        <v>328</v>
      </c>
      <c r="K9" s="45" t="s">
        <v>329</v>
      </c>
      <c r="L9" s="26" t="s">
        <v>330</v>
      </c>
      <c r="M9" s="53" t="s">
        <v>331</v>
      </c>
      <c r="N9" s="54" t="e">
        <f t="shared" ca="1" si="4"/>
        <v>#NAME?</v>
      </c>
      <c r="O9" s="28"/>
      <c r="P9" s="28"/>
      <c r="Q9" s="36" t="s">
        <v>332</v>
      </c>
      <c r="R9" s="36" t="s">
        <v>333</v>
      </c>
      <c r="S9" s="36" t="s">
        <v>332</v>
      </c>
      <c r="T9" s="36" t="s">
        <v>334</v>
      </c>
      <c r="U9" s="36" t="s">
        <v>334</v>
      </c>
      <c r="V9" s="36"/>
      <c r="W9" s="47"/>
      <c r="X9" s="35" t="s">
        <v>335</v>
      </c>
      <c r="Y9" s="28"/>
      <c r="Z9" s="28"/>
      <c r="AA9" s="28"/>
      <c r="AB9" s="35"/>
      <c r="AC9" s="71" t="s">
        <v>336</v>
      </c>
      <c r="AD9" s="19" t="s">
        <v>337</v>
      </c>
      <c r="AE9" s="19" t="s">
        <v>338</v>
      </c>
      <c r="AF9" s="19" t="s">
        <v>339</v>
      </c>
      <c r="AG9" s="19" t="s">
        <v>340</v>
      </c>
      <c r="AH9" s="19" t="s">
        <v>341</v>
      </c>
      <c r="AI9" s="19" t="s">
        <v>342</v>
      </c>
      <c r="AJ9" s="19" t="s">
        <v>343</v>
      </c>
      <c r="AK9" s="41"/>
      <c r="AL9" s="41"/>
      <c r="AM9" s="26" t="s">
        <v>344</v>
      </c>
      <c r="AN9" s="26" t="s">
        <v>345</v>
      </c>
      <c r="AO9" s="27" t="e">
        <v>#N/A</v>
      </c>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36"/>
      <c r="BT9" s="27" t="s">
        <v>173</v>
      </c>
      <c r="BU9" s="42" t="s">
        <v>151</v>
      </c>
      <c r="BV9" s="28" t="e">
        <f t="shared" ca="1" si="2"/>
        <v>#NAME?</v>
      </c>
      <c r="BW9" s="28"/>
      <c r="BX9" s="26" t="str">
        <f t="shared" si="5"/>
        <v>minhglobal.png</v>
      </c>
      <c r="BY9" s="28" t="s">
        <v>346</v>
      </c>
      <c r="BZ9" s="27" t="s">
        <v>325</v>
      </c>
      <c r="CA9" s="26" t="s">
        <v>330</v>
      </c>
      <c r="CB9" s="72"/>
      <c r="CC9" s="72"/>
      <c r="CD9" s="72"/>
      <c r="CE9" s="72"/>
      <c r="CF9" s="72"/>
      <c r="CG9" s="72"/>
    </row>
    <row r="10" spans="1:85" ht="15.75" customHeight="1" x14ac:dyDescent="0.2">
      <c r="A10" s="27" t="b">
        <v>1</v>
      </c>
      <c r="B10" s="31" t="s">
        <v>347</v>
      </c>
      <c r="C10" s="32" t="s">
        <v>347</v>
      </c>
      <c r="D10" s="27" t="s">
        <v>117</v>
      </c>
      <c r="E10" s="33" t="s">
        <v>348</v>
      </c>
      <c r="F10" s="27" t="s">
        <v>349</v>
      </c>
      <c r="G10" s="27" t="str">
        <f t="shared" si="0"/>
        <v>avatar-small.webp</v>
      </c>
      <c r="H10" s="26" t="s">
        <v>350</v>
      </c>
      <c r="I10" s="33" t="s">
        <v>351</v>
      </c>
      <c r="J10" s="33" t="s">
        <v>150</v>
      </c>
      <c r="K10" s="34" t="s">
        <v>352</v>
      </c>
      <c r="L10" s="35" t="s">
        <v>353</v>
      </c>
      <c r="M10" s="46" t="s">
        <v>354</v>
      </c>
      <c r="N10" s="35" t="s">
        <v>355</v>
      </c>
      <c r="O10" s="27" t="s">
        <v>356</v>
      </c>
      <c r="P10" s="27" t="s">
        <v>357</v>
      </c>
      <c r="Q10" s="36" t="s">
        <v>358</v>
      </c>
      <c r="R10" s="36" t="s">
        <v>359</v>
      </c>
      <c r="S10" s="36" t="s">
        <v>358</v>
      </c>
      <c r="T10" s="36" t="s">
        <v>360</v>
      </c>
      <c r="U10" s="36" t="s">
        <v>360</v>
      </c>
      <c r="V10" s="36" t="s">
        <v>361</v>
      </c>
      <c r="W10" s="47" t="s">
        <v>362</v>
      </c>
      <c r="X10" s="35" t="s">
        <v>363</v>
      </c>
      <c r="Y10" s="38" t="s">
        <v>364</v>
      </c>
      <c r="Z10" s="28"/>
      <c r="AA10" s="35"/>
      <c r="AB10" s="35" t="s">
        <v>365</v>
      </c>
      <c r="AC10" s="73" t="s">
        <v>366</v>
      </c>
      <c r="AD10" s="46" t="s">
        <v>367</v>
      </c>
      <c r="AE10" s="67" t="s">
        <v>368</v>
      </c>
      <c r="AF10" s="46" t="s">
        <v>369</v>
      </c>
      <c r="AG10" s="46" t="s">
        <v>370</v>
      </c>
      <c r="AH10" s="46" t="s">
        <v>371</v>
      </c>
      <c r="AI10" s="41"/>
      <c r="AJ10" s="41"/>
      <c r="AK10" s="41"/>
      <c r="AL10" s="41"/>
      <c r="AM10" s="27" t="s">
        <v>372</v>
      </c>
      <c r="AN10" s="27" t="s">
        <v>373</v>
      </c>
      <c r="AO10" s="27" t="s">
        <v>374</v>
      </c>
      <c r="AP10" s="18"/>
      <c r="AQ10" s="18"/>
      <c r="AR10" s="18"/>
      <c r="AS10" s="18"/>
      <c r="AT10" s="18"/>
      <c r="AU10" s="18"/>
      <c r="AV10" s="18"/>
      <c r="AW10" s="18"/>
      <c r="AX10" s="18"/>
      <c r="AY10" s="28"/>
      <c r="AZ10" s="28"/>
      <c r="BA10" s="28"/>
      <c r="BB10" s="28"/>
      <c r="BC10" s="28"/>
      <c r="BD10" s="28"/>
      <c r="BE10" s="27" t="s">
        <v>375</v>
      </c>
      <c r="BF10" s="27" t="s">
        <v>376</v>
      </c>
      <c r="BG10" s="27" t="s">
        <v>377</v>
      </c>
      <c r="BH10" s="27" t="s">
        <v>378</v>
      </c>
      <c r="BI10" s="27" t="s">
        <v>379</v>
      </c>
      <c r="BJ10" s="27" t="s">
        <v>380</v>
      </c>
      <c r="BK10" s="27" t="s">
        <v>381</v>
      </c>
      <c r="BL10" s="27" t="s">
        <v>382</v>
      </c>
      <c r="BM10" s="27" t="s">
        <v>383</v>
      </c>
      <c r="BN10" s="28"/>
      <c r="BO10" s="28"/>
      <c r="BP10" s="28"/>
      <c r="BQ10" s="28"/>
      <c r="BR10" s="28"/>
      <c r="BS10" s="36"/>
      <c r="BT10" s="27" t="s">
        <v>384</v>
      </c>
      <c r="BU10" s="42" t="s">
        <v>151</v>
      </c>
      <c r="BV10" s="28" t="e">
        <f t="shared" ca="1" si="2"/>
        <v>#NAME?</v>
      </c>
      <c r="BW10" s="28"/>
      <c r="BX10" s="26" t="str">
        <f t="shared" si="5"/>
        <v>HathyoV1_Square_Logo_Name.png</v>
      </c>
      <c r="BY10" s="28" t="s">
        <v>385</v>
      </c>
      <c r="BZ10" s="27" t="s">
        <v>349</v>
      </c>
      <c r="CA10" s="35" t="s">
        <v>353</v>
      </c>
      <c r="CB10" s="28"/>
      <c r="CC10" s="28"/>
      <c r="CD10" s="28"/>
      <c r="CE10" s="28"/>
      <c r="CF10" s="28"/>
      <c r="CG10" s="28"/>
    </row>
    <row r="11" spans="1:85" ht="15.75" customHeight="1" x14ac:dyDescent="0.2">
      <c r="A11" s="27" t="b">
        <v>1</v>
      </c>
      <c r="B11" s="31" t="s">
        <v>386</v>
      </c>
      <c r="C11" s="32" t="s">
        <v>387</v>
      </c>
      <c r="D11" s="27" t="s">
        <v>117</v>
      </c>
      <c r="E11" s="43" t="s">
        <v>388</v>
      </c>
      <c r="F11" s="27" t="s">
        <v>389</v>
      </c>
      <c r="G11" s="27" t="str">
        <f t="shared" si="0"/>
        <v>MNhg2_w256.webp</v>
      </c>
      <c r="H11" s="26" t="s">
        <v>390</v>
      </c>
      <c r="I11" s="55" t="s">
        <v>391</v>
      </c>
      <c r="J11" s="43" t="s">
        <v>392</v>
      </c>
      <c r="K11" s="45" t="s">
        <v>393</v>
      </c>
      <c r="L11" s="26" t="s">
        <v>394</v>
      </c>
      <c r="M11" s="46" t="s">
        <v>395</v>
      </c>
      <c r="N11" s="54" t="e">
        <f t="shared" ref="N11:N15" ca="1" si="6">p_GMapLink(M11)</f>
        <v>#NAME?</v>
      </c>
      <c r="O11" s="28"/>
      <c r="P11" s="28"/>
      <c r="Q11" s="36" t="s">
        <v>396</v>
      </c>
      <c r="R11" s="36" t="s">
        <v>397</v>
      </c>
      <c r="S11" s="36" t="s">
        <v>396</v>
      </c>
      <c r="T11" s="36" t="s">
        <v>398</v>
      </c>
      <c r="U11" s="36" t="s">
        <v>398</v>
      </c>
      <c r="V11" s="36"/>
      <c r="W11" s="47">
        <f t="shared" ref="W11:W14" si="7">Y11</f>
        <v>0</v>
      </c>
      <c r="X11" s="38" t="s">
        <v>399</v>
      </c>
      <c r="Y11" s="28"/>
      <c r="Z11" s="28"/>
      <c r="AA11" s="28"/>
      <c r="AB11" s="35"/>
      <c r="AC11" s="48" t="s">
        <v>400</v>
      </c>
      <c r="AD11" s="68" t="s">
        <v>401</v>
      </c>
      <c r="AE11" s="46" t="s">
        <v>402</v>
      </c>
      <c r="AF11" s="19" t="s">
        <v>403</v>
      </c>
      <c r="AG11" s="46"/>
      <c r="AH11" s="41"/>
      <c r="AI11" s="41"/>
      <c r="AJ11" s="41"/>
      <c r="AK11" s="41"/>
      <c r="AL11" s="41"/>
      <c r="AM11" s="26" t="s">
        <v>404</v>
      </c>
      <c r="AN11" s="27" t="s">
        <v>405</v>
      </c>
      <c r="AO11" s="27"/>
      <c r="AP11" s="27"/>
      <c r="AQ11" s="27"/>
      <c r="AR11" s="27"/>
      <c r="AS11" s="27"/>
      <c r="AT11" s="27"/>
      <c r="AU11" s="27"/>
      <c r="AV11" s="27"/>
      <c r="AW11" s="27"/>
      <c r="AX11" s="27"/>
      <c r="AY11" s="28"/>
      <c r="AZ11" s="28"/>
      <c r="BA11" s="28"/>
      <c r="BB11" s="28"/>
      <c r="BC11" s="28"/>
      <c r="BD11" s="28"/>
      <c r="BE11" s="28"/>
      <c r="BF11" s="28"/>
      <c r="BG11" s="28"/>
      <c r="BH11" s="28"/>
      <c r="BI11" s="28"/>
      <c r="BJ11" s="28"/>
      <c r="BK11" s="28"/>
      <c r="BL11" s="28"/>
      <c r="BM11" s="28"/>
      <c r="BN11" s="28"/>
      <c r="BO11" s="28"/>
      <c r="BP11" s="28"/>
      <c r="BQ11" s="28"/>
      <c r="BR11" s="28"/>
      <c r="BS11" s="36"/>
      <c r="BT11" s="27" t="s">
        <v>173</v>
      </c>
      <c r="BU11" s="42" t="s">
        <v>151</v>
      </c>
      <c r="BV11" s="28" t="e">
        <f t="shared" ca="1" si="2"/>
        <v>#NAME?</v>
      </c>
      <c r="BW11" s="28"/>
      <c r="BX11" s="26" t="str">
        <f t="shared" si="5"/>
        <v>vietquang_H128.png</v>
      </c>
      <c r="BY11" s="28" t="s">
        <v>406</v>
      </c>
      <c r="BZ11" s="26" t="s">
        <v>407</v>
      </c>
      <c r="CA11" s="26" t="s">
        <v>394</v>
      </c>
      <c r="CB11" s="28"/>
      <c r="CC11" s="28"/>
      <c r="CD11" s="28"/>
      <c r="CE11" s="28"/>
      <c r="CF11" s="28"/>
      <c r="CG11" s="28"/>
    </row>
    <row r="12" spans="1:85" ht="15.75" customHeight="1" x14ac:dyDescent="0.2">
      <c r="A12" s="27" t="b">
        <v>1</v>
      </c>
      <c r="B12" s="31" t="s">
        <v>408</v>
      </c>
      <c r="C12" s="74" t="s">
        <v>386</v>
      </c>
      <c r="D12" s="27" t="s">
        <v>409</v>
      </c>
      <c r="E12" s="52" t="s">
        <v>410</v>
      </c>
      <c r="F12" s="27" t="s">
        <v>411</v>
      </c>
      <c r="G12" s="27" t="str">
        <f t="shared" si="0"/>
        <v>Thao_W128.webp</v>
      </c>
      <c r="H12" s="26" t="s">
        <v>412</v>
      </c>
      <c r="I12" s="33" t="s">
        <v>413</v>
      </c>
      <c r="J12" s="33" t="s">
        <v>414</v>
      </c>
      <c r="K12" s="34" t="s">
        <v>415</v>
      </c>
      <c r="L12" s="26" t="s">
        <v>416</v>
      </c>
      <c r="M12" s="19" t="s">
        <v>417</v>
      </c>
      <c r="N12" s="54" t="e">
        <f t="shared" ca="1" si="6"/>
        <v>#NAME?</v>
      </c>
      <c r="O12" s="40" t="s">
        <v>418</v>
      </c>
      <c r="P12" s="28"/>
      <c r="Q12" s="36" t="s">
        <v>419</v>
      </c>
      <c r="R12" s="36" t="s">
        <v>420</v>
      </c>
      <c r="S12" s="36" t="s">
        <v>419</v>
      </c>
      <c r="T12" s="36" t="s">
        <v>421</v>
      </c>
      <c r="U12" s="36" t="s">
        <v>421</v>
      </c>
      <c r="V12" s="36"/>
      <c r="W12" s="47">
        <f t="shared" si="7"/>
        <v>0</v>
      </c>
      <c r="X12" s="38" t="s">
        <v>422</v>
      </c>
      <c r="Y12" s="28"/>
      <c r="Z12" s="28"/>
      <c r="AA12" s="28"/>
      <c r="AB12" s="35"/>
      <c r="AC12" s="75" t="s">
        <v>423</v>
      </c>
      <c r="AD12" s="75" t="s">
        <v>424</v>
      </c>
      <c r="AE12" s="76" t="s">
        <v>425</v>
      </c>
      <c r="AF12" s="53" t="s">
        <v>426</v>
      </c>
      <c r="AG12" s="75" t="s">
        <v>427</v>
      </c>
      <c r="AH12" s="75" t="s">
        <v>428</v>
      </c>
      <c r="AI12" s="75" t="s">
        <v>429</v>
      </c>
      <c r="AJ12" s="75" t="s">
        <v>430</v>
      </c>
      <c r="AK12" s="41"/>
      <c r="AL12" s="41"/>
      <c r="AM12" s="26" t="s">
        <v>431</v>
      </c>
      <c r="AN12" s="27"/>
      <c r="AO12" s="27"/>
      <c r="AP12" s="27"/>
      <c r="AQ12" s="27"/>
      <c r="AR12" s="27"/>
      <c r="AS12" s="27"/>
      <c r="AT12" s="27"/>
      <c r="AU12" s="27"/>
      <c r="AV12" s="27"/>
      <c r="AW12" s="27"/>
      <c r="AX12" s="27"/>
      <c r="AY12" s="28"/>
      <c r="AZ12" s="28"/>
      <c r="BA12" s="28"/>
      <c r="BB12" s="28"/>
      <c r="BC12" s="28"/>
      <c r="BD12" s="28"/>
      <c r="BE12" s="28"/>
      <c r="BF12" s="28"/>
      <c r="BG12" s="28"/>
      <c r="BH12" s="28"/>
      <c r="BI12" s="28"/>
      <c r="BJ12" s="28"/>
      <c r="BK12" s="28"/>
      <c r="BL12" s="28"/>
      <c r="BM12" s="28"/>
      <c r="BN12" s="28"/>
      <c r="BO12" s="28"/>
      <c r="BP12" s="28"/>
      <c r="BQ12" s="28"/>
      <c r="BR12" s="28"/>
      <c r="BS12" s="36"/>
      <c r="BT12" s="27" t="s">
        <v>173</v>
      </c>
      <c r="BU12" s="42" t="s">
        <v>151</v>
      </c>
      <c r="BV12" s="28" t="e">
        <f t="shared" ca="1" si="2"/>
        <v>#NAME?</v>
      </c>
      <c r="BW12" s="28"/>
      <c r="BX12" s="26" t="str">
        <f t="shared" si="5"/>
        <v>20240403_TAM%20NGUYEN%20LOGO-01.jpg</v>
      </c>
      <c r="BY12" s="28" t="s">
        <v>432</v>
      </c>
      <c r="BZ12" s="27" t="s">
        <v>411</v>
      </c>
      <c r="CA12" s="26" t="s">
        <v>416</v>
      </c>
      <c r="CB12" s="28"/>
      <c r="CC12" s="28"/>
      <c r="CD12" s="28"/>
      <c r="CE12" s="28"/>
      <c r="CF12" s="28"/>
      <c r="CG12" s="28"/>
    </row>
    <row r="13" spans="1:85" ht="15.75" customHeight="1" x14ac:dyDescent="0.2">
      <c r="A13" s="27" t="b">
        <v>1</v>
      </c>
      <c r="B13" s="31" t="s">
        <v>387</v>
      </c>
      <c r="C13" s="69" t="s">
        <v>433</v>
      </c>
      <c r="D13" s="27" t="s">
        <v>117</v>
      </c>
      <c r="E13" s="70" t="s">
        <v>434</v>
      </c>
      <c r="F13" s="27" t="s">
        <v>435</v>
      </c>
      <c r="G13" s="27" t="str">
        <f t="shared" si="0"/>
        <v>Dien_W128.webp</v>
      </c>
      <c r="H13" s="26" t="s">
        <v>436</v>
      </c>
      <c r="I13" s="71" t="s">
        <v>437</v>
      </c>
      <c r="J13" s="55" t="s">
        <v>438</v>
      </c>
      <c r="K13" s="45" t="s">
        <v>439</v>
      </c>
      <c r="L13" s="26" t="s">
        <v>440</v>
      </c>
      <c r="M13" s="53" t="s">
        <v>441</v>
      </c>
      <c r="N13" s="54" t="e">
        <f t="shared" ca="1" si="6"/>
        <v>#NAME?</v>
      </c>
      <c r="O13" s="53" t="s">
        <v>442</v>
      </c>
      <c r="P13" s="54" t="e">
        <f ca="1">p_GMapLink(O13)</f>
        <v>#NAME?</v>
      </c>
      <c r="Q13" s="36" t="s">
        <v>443</v>
      </c>
      <c r="R13" s="19" t="s">
        <v>444</v>
      </c>
      <c r="S13" s="36" t="s">
        <v>443</v>
      </c>
      <c r="T13" s="36" t="s">
        <v>445</v>
      </c>
      <c r="U13" s="36" t="s">
        <v>445</v>
      </c>
      <c r="V13" s="36"/>
      <c r="W13" s="47">
        <f t="shared" si="7"/>
        <v>0</v>
      </c>
      <c r="X13" s="35" t="s">
        <v>446</v>
      </c>
      <c r="Y13" s="28"/>
      <c r="Z13" s="28"/>
      <c r="AA13" s="28"/>
      <c r="AB13" s="35"/>
      <c r="AC13" s="55" t="s">
        <v>447</v>
      </c>
      <c r="AD13" s="77" t="s">
        <v>448</v>
      </c>
      <c r="AE13" s="19" t="s">
        <v>449</v>
      </c>
      <c r="AF13" s="26" t="s">
        <v>450</v>
      </c>
      <c r="AG13" s="26" t="s">
        <v>451</v>
      </c>
      <c r="AH13" s="26" t="s">
        <v>452</v>
      </c>
      <c r="AI13" s="26" t="s">
        <v>453</v>
      </c>
      <c r="AJ13" s="53" t="s">
        <v>454</v>
      </c>
      <c r="AK13" s="41"/>
      <c r="AL13" s="41"/>
      <c r="AM13" s="26" t="s">
        <v>455</v>
      </c>
      <c r="AN13" s="27"/>
      <c r="AO13" s="38" t="s">
        <v>456</v>
      </c>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36"/>
      <c r="BT13" s="27" t="s">
        <v>173</v>
      </c>
      <c r="BU13" s="42" t="s">
        <v>151</v>
      </c>
      <c r="BV13" s="28" t="e">
        <f t="shared" ca="1" si="2"/>
        <v>#NAME?</v>
      </c>
      <c r="BW13" s="36" t="s">
        <v>457</v>
      </c>
      <c r="BX13" s="26" t="str">
        <f t="shared" si="5"/>
        <v>Nền trắng - Vuông trọn vẹn trong vòng tròn.png</v>
      </c>
      <c r="BY13" s="28" t="s">
        <v>458</v>
      </c>
      <c r="BZ13" s="27" t="s">
        <v>435</v>
      </c>
      <c r="CA13" s="26" t="s">
        <v>440</v>
      </c>
      <c r="CB13" s="28"/>
      <c r="CC13" s="28"/>
      <c r="CD13" s="28"/>
      <c r="CE13" s="28"/>
      <c r="CF13" s="28"/>
      <c r="CG13" s="28"/>
    </row>
    <row r="14" spans="1:85" ht="15.75" customHeight="1" x14ac:dyDescent="0.2">
      <c r="A14" s="27" t="b">
        <v>1</v>
      </c>
      <c r="B14" s="31" t="s">
        <v>459</v>
      </c>
      <c r="C14" s="50" t="s">
        <v>460</v>
      </c>
      <c r="D14" s="27" t="s">
        <v>117</v>
      </c>
      <c r="E14" s="51" t="s">
        <v>461</v>
      </c>
      <c r="F14" s="27" t="s">
        <v>462</v>
      </c>
      <c r="G14" s="27" t="str">
        <f t="shared" si="0"/>
        <v>TruongQuangHuong_w256.webp</v>
      </c>
      <c r="H14" s="26" t="s">
        <v>463</v>
      </c>
      <c r="I14" s="52" t="s">
        <v>464</v>
      </c>
      <c r="J14" s="52" t="s">
        <v>465</v>
      </c>
      <c r="K14" s="34" t="s">
        <v>466</v>
      </c>
      <c r="L14" s="26" t="s">
        <v>467</v>
      </c>
      <c r="M14" s="53" t="s">
        <v>468</v>
      </c>
      <c r="N14" s="54" t="e">
        <f t="shared" ca="1" si="6"/>
        <v>#NAME?</v>
      </c>
      <c r="O14" s="28"/>
      <c r="P14" s="28"/>
      <c r="Q14" s="36" t="s">
        <v>469</v>
      </c>
      <c r="R14" s="36" t="s">
        <v>470</v>
      </c>
      <c r="S14" s="36" t="s">
        <v>469</v>
      </c>
      <c r="T14" s="36" t="s">
        <v>471</v>
      </c>
      <c r="U14" s="36" t="s">
        <v>471</v>
      </c>
      <c r="V14" s="36"/>
      <c r="W14" s="47">
        <f t="shared" si="7"/>
        <v>0</v>
      </c>
      <c r="X14" s="35" t="s">
        <v>472</v>
      </c>
      <c r="Y14" s="28"/>
      <c r="Z14" s="28"/>
      <c r="AA14" s="28"/>
      <c r="AB14" s="35"/>
      <c r="AC14" s="40" t="s">
        <v>473</v>
      </c>
      <c r="AD14" s="19" t="s">
        <v>474</v>
      </c>
      <c r="AE14" s="19" t="s">
        <v>475</v>
      </c>
      <c r="AF14" s="19" t="s">
        <v>476</v>
      </c>
      <c r="AG14" s="19" t="s">
        <v>477</v>
      </c>
      <c r="AH14" s="19" t="s">
        <v>478</v>
      </c>
      <c r="AI14" s="19" t="s">
        <v>479</v>
      </c>
      <c r="AJ14" s="19" t="s">
        <v>480</v>
      </c>
      <c r="AK14" s="41"/>
      <c r="AL14" s="41"/>
      <c r="AM14" s="26" t="s">
        <v>481</v>
      </c>
      <c r="AN14" s="27" t="s">
        <v>482</v>
      </c>
      <c r="AO14" s="38" t="s">
        <v>483</v>
      </c>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36"/>
      <c r="BT14" s="27" t="s">
        <v>173</v>
      </c>
      <c r="BU14" s="42" t="s">
        <v>151</v>
      </c>
      <c r="BV14" s="28" t="e">
        <f t="shared" ca="1" si="2"/>
        <v>#NAME?</v>
      </c>
      <c r="BW14" s="28"/>
      <c r="BX14" s="26" t="str">
        <f t="shared" si="5"/>
        <v>quangnong.jpeg</v>
      </c>
      <c r="BY14" s="28" t="s">
        <v>484</v>
      </c>
      <c r="BZ14" s="27" t="s">
        <v>485</v>
      </c>
      <c r="CA14" s="26" t="s">
        <v>467</v>
      </c>
      <c r="CB14" s="28"/>
      <c r="CC14" s="28"/>
      <c r="CD14" s="28"/>
      <c r="CE14" s="28"/>
      <c r="CF14" s="28"/>
      <c r="CG14" s="28"/>
    </row>
    <row r="15" spans="1:85" ht="15.75" customHeight="1" x14ac:dyDescent="0.2">
      <c r="A15" s="27" t="b">
        <v>1</v>
      </c>
      <c r="B15" s="31" t="s">
        <v>486</v>
      </c>
      <c r="C15" s="69" t="s">
        <v>487</v>
      </c>
      <c r="D15" s="27" t="s">
        <v>117</v>
      </c>
      <c r="E15" s="70" t="s">
        <v>488</v>
      </c>
      <c r="F15" s="27" t="s">
        <v>489</v>
      </c>
      <c r="G15" s="27" t="str">
        <f t="shared" si="0"/>
        <v>3NzKn_w256.webp</v>
      </c>
      <c r="H15" s="26" t="s">
        <v>490</v>
      </c>
      <c r="I15" s="55" t="s">
        <v>491</v>
      </c>
      <c r="J15" s="55" t="s">
        <v>492</v>
      </c>
      <c r="K15" s="45"/>
      <c r="L15" s="26" t="s">
        <v>493</v>
      </c>
      <c r="M15" s="53" t="s">
        <v>494</v>
      </c>
      <c r="N15" s="54" t="e">
        <f t="shared" ca="1" si="6"/>
        <v>#NAME?</v>
      </c>
      <c r="O15" s="26" t="s">
        <v>495</v>
      </c>
      <c r="P15" s="54" t="e">
        <f ca="1">p_GMapLink(O15)</f>
        <v>#NAME?</v>
      </c>
      <c r="Q15" s="36" t="s">
        <v>496</v>
      </c>
      <c r="R15" s="78" t="s">
        <v>497</v>
      </c>
      <c r="S15" s="36" t="s">
        <v>496</v>
      </c>
      <c r="T15" s="36" t="s">
        <v>498</v>
      </c>
      <c r="U15" s="36" t="s">
        <v>498</v>
      </c>
      <c r="V15" s="36"/>
      <c r="W15" s="79" t="s">
        <v>499</v>
      </c>
      <c r="X15" s="35"/>
      <c r="Y15" s="79" t="s">
        <v>499</v>
      </c>
      <c r="Z15" s="28"/>
      <c r="AA15" s="28"/>
      <c r="AB15" s="35"/>
      <c r="AC15" s="71" t="s">
        <v>500</v>
      </c>
      <c r="AD15" s="19" t="s">
        <v>501</v>
      </c>
      <c r="AE15" s="19" t="s">
        <v>502</v>
      </c>
      <c r="AF15" s="19" t="s">
        <v>503</v>
      </c>
      <c r="AG15" s="19" t="s">
        <v>504</v>
      </c>
      <c r="AH15" s="19" t="s">
        <v>505</v>
      </c>
      <c r="AI15" s="19" t="s">
        <v>506</v>
      </c>
      <c r="AJ15" s="19" t="s">
        <v>507</v>
      </c>
      <c r="AK15" s="41"/>
      <c r="AL15" s="41"/>
      <c r="AM15" s="26" t="s">
        <v>508</v>
      </c>
      <c r="AN15" s="27"/>
      <c r="AO15" s="26" t="s">
        <v>509</v>
      </c>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36"/>
      <c r="BT15" s="27" t="s">
        <v>173</v>
      </c>
      <c r="BU15" s="42" t="s">
        <v>151</v>
      </c>
      <c r="BV15" s="28" t="e">
        <f t="shared" ca="1" si="2"/>
        <v>#NAME?</v>
      </c>
      <c r="BW15" s="28"/>
      <c r="BX15" s="26" t="str">
        <f t="shared" si="5"/>
        <v>kimhue.jpg</v>
      </c>
      <c r="BY15" s="28" t="s">
        <v>510</v>
      </c>
      <c r="BZ15" s="26" t="s">
        <v>511</v>
      </c>
      <c r="CA15" s="26" t="s">
        <v>493</v>
      </c>
      <c r="CB15" s="28"/>
      <c r="CC15" s="28"/>
      <c r="CD15" s="28"/>
      <c r="CE15" s="28"/>
      <c r="CF15" s="28"/>
      <c r="CG15" s="28"/>
    </row>
    <row r="16" spans="1:85" ht="15.75" customHeight="1" x14ac:dyDescent="0.2">
      <c r="A16" s="27" t="b">
        <v>1</v>
      </c>
      <c r="B16" s="31" t="s">
        <v>512</v>
      </c>
      <c r="C16" s="32" t="s">
        <v>175</v>
      </c>
      <c r="D16" s="27" t="s">
        <v>117</v>
      </c>
      <c r="E16" s="33" t="s">
        <v>513</v>
      </c>
      <c r="F16" s="27" t="s">
        <v>514</v>
      </c>
      <c r="G16" s="27" t="str">
        <f t="shared" si="0"/>
        <v>PT_w256.webp</v>
      </c>
      <c r="H16" s="27" t="s">
        <v>515</v>
      </c>
      <c r="I16" s="52" t="s">
        <v>516</v>
      </c>
      <c r="J16" s="52" t="s">
        <v>517</v>
      </c>
      <c r="K16" s="80" t="s">
        <v>518</v>
      </c>
      <c r="L16" s="26" t="s">
        <v>519</v>
      </c>
      <c r="M16" s="53" t="s">
        <v>520</v>
      </c>
      <c r="N16" s="57" t="s">
        <v>521</v>
      </c>
      <c r="O16" s="28"/>
      <c r="P16" s="28"/>
      <c r="Q16" s="36" t="s">
        <v>522</v>
      </c>
      <c r="R16" s="36" t="s">
        <v>523</v>
      </c>
      <c r="S16" s="36">
        <v>902799535</v>
      </c>
      <c r="T16" s="36" t="s">
        <v>524</v>
      </c>
      <c r="U16" s="36" t="s">
        <v>524</v>
      </c>
      <c r="V16" s="36"/>
      <c r="W16" s="37" t="str">
        <f>Y16</f>
        <v>https://fb.com/phu.tongquang</v>
      </c>
      <c r="X16" s="35" t="s">
        <v>525</v>
      </c>
      <c r="Y16" s="38" t="s">
        <v>526</v>
      </c>
      <c r="Z16" s="28"/>
      <c r="AA16" s="28"/>
      <c r="AB16" s="35"/>
      <c r="AC16" s="40" t="s">
        <v>527</v>
      </c>
      <c r="AD16" s="68" t="s">
        <v>528</v>
      </c>
      <c r="AE16" s="76" t="s">
        <v>529</v>
      </c>
      <c r="AF16" s="53" t="s">
        <v>530</v>
      </c>
      <c r="AG16" s="53" t="s">
        <v>531</v>
      </c>
      <c r="AH16" s="53" t="s">
        <v>532</v>
      </c>
      <c r="AI16" s="53"/>
      <c r="AJ16" s="41"/>
      <c r="AK16" s="41"/>
      <c r="AL16" s="41"/>
      <c r="AM16" s="27"/>
      <c r="AN16" s="26" t="s">
        <v>533</v>
      </c>
      <c r="AO16" s="26" t="s">
        <v>534</v>
      </c>
      <c r="AP16" s="27"/>
      <c r="AQ16" s="27"/>
      <c r="AR16" s="27"/>
      <c r="AS16" s="27"/>
      <c r="AT16" s="27"/>
      <c r="AU16" s="27"/>
      <c r="AV16" s="27"/>
      <c r="AW16" s="27"/>
      <c r="AX16" s="27"/>
      <c r="AY16" s="28"/>
      <c r="AZ16" s="28"/>
      <c r="BA16" s="28"/>
      <c r="BB16" s="28"/>
      <c r="BC16" s="28"/>
      <c r="BD16" s="28"/>
      <c r="BE16" s="28"/>
      <c r="BF16" s="28"/>
      <c r="BG16" s="28"/>
      <c r="BH16" s="28"/>
      <c r="BI16" s="28"/>
      <c r="BJ16" s="28"/>
      <c r="BK16" s="28"/>
      <c r="BL16" s="28"/>
      <c r="BM16" s="28"/>
      <c r="BN16" s="28"/>
      <c r="BO16" s="28"/>
      <c r="BP16" s="28"/>
      <c r="BQ16" s="28"/>
      <c r="BR16" s="28"/>
      <c r="BS16" s="28"/>
      <c r="BT16" s="27" t="s">
        <v>173</v>
      </c>
      <c r="BU16" s="42" t="s">
        <v>151</v>
      </c>
      <c r="BV16" s="28" t="e">
        <f t="shared" ca="1" si="2"/>
        <v>#NAME?</v>
      </c>
      <c r="BW16" s="28"/>
      <c r="BX16" s="26" t="str">
        <f t="shared" si="5"/>
        <v>c620dacd-ed7b-43c7-ae36-745f273e4def.jpg</v>
      </c>
      <c r="BY16" s="28" t="s">
        <v>535</v>
      </c>
      <c r="BZ16" s="26" t="s">
        <v>536</v>
      </c>
      <c r="CA16" s="26" t="s">
        <v>519</v>
      </c>
      <c r="CB16" s="28"/>
      <c r="CC16" s="28"/>
      <c r="CD16" s="28"/>
      <c r="CE16" s="28"/>
      <c r="CF16" s="28"/>
      <c r="CG16" s="28"/>
    </row>
    <row r="17" spans="1:85" ht="15.75" customHeight="1" x14ac:dyDescent="0.2">
      <c r="A17" s="27" t="b">
        <v>1</v>
      </c>
      <c r="B17" s="31" t="s">
        <v>537</v>
      </c>
      <c r="C17" s="69" t="s">
        <v>538</v>
      </c>
      <c r="D17" s="27" t="s">
        <v>117</v>
      </c>
      <c r="E17" s="70" t="s">
        <v>539</v>
      </c>
      <c r="F17" s="27" t="s">
        <v>540</v>
      </c>
      <c r="G17" s="27" t="str">
        <f t="shared" si="0"/>
        <v>image (1)_w256.webp</v>
      </c>
      <c r="H17" s="26" t="s">
        <v>541</v>
      </c>
      <c r="I17" s="40" t="s">
        <v>542</v>
      </c>
      <c r="J17" s="55" t="s">
        <v>543</v>
      </c>
      <c r="K17" s="45"/>
      <c r="L17" s="26" t="s">
        <v>544</v>
      </c>
      <c r="M17" s="53" t="s">
        <v>545</v>
      </c>
      <c r="N17" s="57" t="s">
        <v>546</v>
      </c>
      <c r="O17" s="28"/>
      <c r="P17" s="28"/>
      <c r="Q17" s="36" t="s">
        <v>547</v>
      </c>
      <c r="R17" s="78" t="s">
        <v>548</v>
      </c>
      <c r="S17" s="78" t="s">
        <v>549</v>
      </c>
      <c r="T17" s="36" t="s">
        <v>550</v>
      </c>
      <c r="U17" s="36" t="s">
        <v>550</v>
      </c>
      <c r="V17" s="36"/>
      <c r="W17" s="47"/>
      <c r="X17" s="38" t="s">
        <v>551</v>
      </c>
      <c r="Y17" s="28"/>
      <c r="Z17" s="28"/>
      <c r="AA17" s="28"/>
      <c r="AB17" s="35"/>
      <c r="AC17" s="71" t="s">
        <v>552</v>
      </c>
      <c r="AD17" s="19" t="s">
        <v>553</v>
      </c>
      <c r="AE17" s="19" t="s">
        <v>554</v>
      </c>
      <c r="AF17" s="19" t="s">
        <v>555</v>
      </c>
      <c r="AG17" s="19" t="s">
        <v>556</v>
      </c>
      <c r="AH17" s="19" t="s">
        <v>557</v>
      </c>
      <c r="AI17" s="19" t="s">
        <v>558</v>
      </c>
      <c r="AJ17" s="19" t="s">
        <v>559</v>
      </c>
      <c r="AK17" s="41"/>
      <c r="AL17" s="41"/>
      <c r="AM17" s="19" t="s">
        <v>560</v>
      </c>
      <c r="AN17" s="27"/>
      <c r="AO17" s="26" t="s">
        <v>561</v>
      </c>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36"/>
      <c r="BT17" s="27" t="s">
        <v>173</v>
      </c>
      <c r="BU17" s="42" t="s">
        <v>151</v>
      </c>
      <c r="BV17" s="28" t="e">
        <f t="shared" ca="1" si="2"/>
        <v>#NAME?</v>
      </c>
      <c r="BW17" s="28"/>
      <c r="BX17" s="26" t="str">
        <f t="shared" si="5"/>
        <v>logo (1).png</v>
      </c>
      <c r="BY17" s="28" t="s">
        <v>562</v>
      </c>
      <c r="BZ17" s="26" t="s">
        <v>563</v>
      </c>
      <c r="CA17" s="26" t="s">
        <v>544</v>
      </c>
      <c r="CB17" s="28"/>
      <c r="CC17" s="28"/>
      <c r="CD17" s="28"/>
      <c r="CE17" s="28"/>
      <c r="CF17" s="28"/>
      <c r="CG17" s="28"/>
    </row>
    <row r="18" spans="1:85" ht="15.75" customHeight="1" x14ac:dyDescent="0.2">
      <c r="A18" s="30" t="b">
        <v>1</v>
      </c>
      <c r="B18" s="31" t="s">
        <v>564</v>
      </c>
      <c r="C18" s="50" t="s">
        <v>565</v>
      </c>
      <c r="D18" s="27" t="s">
        <v>117</v>
      </c>
      <c r="E18" s="51" t="s">
        <v>566</v>
      </c>
      <c r="F18" s="27" t="s">
        <v>567</v>
      </c>
      <c r="G18" s="27" t="str">
        <f t="shared" si="0"/>
        <v>NguyenTuanAnh_w256.webp</v>
      </c>
      <c r="H18" s="26" t="s">
        <v>568</v>
      </c>
      <c r="I18" s="51" t="s">
        <v>569</v>
      </c>
      <c r="J18" s="52" t="s">
        <v>570</v>
      </c>
      <c r="K18" s="34"/>
      <c r="L18" s="26" t="s">
        <v>571</v>
      </c>
      <c r="M18" s="46" t="s">
        <v>572</v>
      </c>
      <c r="N18" s="54" t="e">
        <f ca="1">p_GMapLink(M18)</f>
        <v>#NAME?</v>
      </c>
      <c r="O18" s="28"/>
      <c r="P18" s="28"/>
      <c r="Q18" s="36" t="s">
        <v>573</v>
      </c>
      <c r="R18" s="36" t="s">
        <v>574</v>
      </c>
      <c r="S18" s="36" t="s">
        <v>573</v>
      </c>
      <c r="T18" s="36" t="s">
        <v>575</v>
      </c>
      <c r="U18" s="36" t="s">
        <v>575</v>
      </c>
      <c r="V18" s="36"/>
      <c r="W18" s="37" t="str">
        <f t="shared" ref="W18:W19" si="8">Y18</f>
        <v>https://fb.com/share/1FctnaMowP/?mibextid=wwXIfr</v>
      </c>
      <c r="X18" s="35" t="s">
        <v>576</v>
      </c>
      <c r="Y18" s="57" t="s">
        <v>577</v>
      </c>
      <c r="Z18" s="28" t="s">
        <v>578</v>
      </c>
      <c r="AA18" s="35" t="s">
        <v>132</v>
      </c>
      <c r="AB18" s="35"/>
      <c r="AC18" s="40" t="s">
        <v>579</v>
      </c>
      <c r="AD18" s="19" t="s">
        <v>580</v>
      </c>
      <c r="AE18" s="19" t="s">
        <v>581</v>
      </c>
      <c r="AF18" s="19" t="s">
        <v>582</v>
      </c>
      <c r="AG18" s="19" t="s">
        <v>583</v>
      </c>
      <c r="AH18" s="19" t="s">
        <v>584</v>
      </c>
      <c r="AI18" s="19" t="s">
        <v>585</v>
      </c>
      <c r="AJ18" s="19" t="s">
        <v>586</v>
      </c>
      <c r="AK18" s="41"/>
      <c r="AL18" s="41"/>
      <c r="AM18" s="26" t="s">
        <v>587</v>
      </c>
      <c r="AN18" s="27" t="s">
        <v>588</v>
      </c>
      <c r="AO18" s="26" t="s">
        <v>589</v>
      </c>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36"/>
      <c r="BT18" s="26" t="s">
        <v>150</v>
      </c>
      <c r="BU18" s="42" t="s">
        <v>151</v>
      </c>
      <c r="BV18" s="28" t="e">
        <f t="shared" ca="1" si="2"/>
        <v>#NAME?</v>
      </c>
      <c r="BW18" s="28"/>
      <c r="BX18" s="26" t="str">
        <f t="shared" si="5"/>
        <v>file.jpg</v>
      </c>
      <c r="BY18" s="28" t="s">
        <v>590</v>
      </c>
      <c r="BZ18" s="26" t="s">
        <v>591</v>
      </c>
      <c r="CA18" s="26" t="s">
        <v>571</v>
      </c>
      <c r="CB18" s="28"/>
      <c r="CC18" s="28"/>
      <c r="CD18" s="28"/>
      <c r="CE18" s="28"/>
      <c r="CF18" s="28"/>
      <c r="CG18" s="28"/>
    </row>
    <row r="19" spans="1:85" ht="15.75" customHeight="1" x14ac:dyDescent="0.2">
      <c r="A19" s="27" t="b">
        <v>1</v>
      </c>
      <c r="B19" s="31" t="s">
        <v>176</v>
      </c>
      <c r="C19" s="69" t="s">
        <v>592</v>
      </c>
      <c r="D19" s="27" t="s">
        <v>117</v>
      </c>
      <c r="E19" s="70" t="s">
        <v>593</v>
      </c>
      <c r="F19" s="27" t="s">
        <v>594</v>
      </c>
      <c r="G19" s="27" t="str">
        <f t="shared" si="0"/>
        <v>Screenshot_2025-01-16_124726_-_Nguyen_Hung-removebg-preview_w256.webp</v>
      </c>
      <c r="H19" s="26" t="s">
        <v>595</v>
      </c>
      <c r="I19" s="55" t="s">
        <v>596</v>
      </c>
      <c r="J19" s="55" t="s">
        <v>597</v>
      </c>
      <c r="K19" s="45" t="s">
        <v>598</v>
      </c>
      <c r="L19" s="26" t="s">
        <v>599</v>
      </c>
      <c r="M19" s="46" t="e">
        <f>VLOOKUP(E19,#REF!, 4, FALSE)</f>
        <v>#REF!</v>
      </c>
      <c r="N19" s="57" t="s">
        <v>600</v>
      </c>
      <c r="O19" s="28"/>
      <c r="P19" s="28"/>
      <c r="Q19" s="81" t="s">
        <v>601</v>
      </c>
      <c r="R19" s="36" t="e">
        <f>VLOOKUP(E19,#REF!, 8, FALSE)</f>
        <v>#REF!</v>
      </c>
      <c r="S19" s="36" t="str">
        <f>Q19</f>
        <v>0766579246</v>
      </c>
      <c r="T19" s="36" t="str">
        <f>"84"&amp;IF(LEN(Q19)=10, RIGHT(Q19,9), Q19)</f>
        <v>84766579246</v>
      </c>
      <c r="U19" s="36" t="str">
        <f>"84"&amp;IF(LEN(Q19)=10, RIGHT(Q19,9), Q19)</f>
        <v>84766579246</v>
      </c>
      <c r="V19" s="36"/>
      <c r="W19" s="37" t="str">
        <f t="shared" si="8"/>
        <v>https://fb.com/Hunggarment</v>
      </c>
      <c r="X19" s="38" t="s">
        <v>602</v>
      </c>
      <c r="Y19" s="57" t="s">
        <v>603</v>
      </c>
      <c r="Z19" s="28" t="e">
        <f>VLOOKUP(E19,#REF!, 11, FALSE)</f>
        <v>#REF!</v>
      </c>
      <c r="AA19" s="28"/>
      <c r="AB19" s="82" t="e">
        <f>VLOOKUP(E19,#REF!, 12, FALSE)</f>
        <v>#REF!</v>
      </c>
      <c r="AC19" s="71" t="s">
        <v>604</v>
      </c>
      <c r="AD19" s="19" t="s">
        <v>605</v>
      </c>
      <c r="AE19" s="19" t="s">
        <v>606</v>
      </c>
      <c r="AF19" s="19" t="s">
        <v>607</v>
      </c>
      <c r="AG19" s="19" t="s">
        <v>608</v>
      </c>
      <c r="AH19" s="19" t="s">
        <v>609</v>
      </c>
      <c r="AI19" s="19" t="s">
        <v>610</v>
      </c>
      <c r="AJ19" s="19" t="s">
        <v>611</v>
      </c>
      <c r="AK19" s="41"/>
      <c r="AL19" s="41"/>
      <c r="AM19" s="26" t="s">
        <v>612</v>
      </c>
      <c r="AN19" s="27"/>
      <c r="AO19" s="26" t="s">
        <v>613</v>
      </c>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7" t="s">
        <v>173</v>
      </c>
      <c r="BU19" s="42" t="s">
        <v>151</v>
      </c>
      <c r="BV19" s="28" t="e">
        <f t="shared" ca="1" si="2"/>
        <v>#NAME?</v>
      </c>
      <c r="BW19" s="28"/>
      <c r="BX19" s="26" t="str">
        <f t="shared" si="5"/>
        <v>unnamed.png</v>
      </c>
      <c r="BY19" s="28" t="s">
        <v>614</v>
      </c>
      <c r="BZ19" s="26" t="s">
        <v>615</v>
      </c>
      <c r="CA19" s="26" t="s">
        <v>599</v>
      </c>
      <c r="CB19" s="28"/>
      <c r="CC19" s="28"/>
      <c r="CD19" s="28"/>
      <c r="CE19" s="28"/>
      <c r="CF19" s="28"/>
      <c r="CG19" s="28"/>
    </row>
    <row r="20" spans="1:85" ht="15.75" customHeight="1" x14ac:dyDescent="0.2">
      <c r="A20" s="30" t="b">
        <v>1</v>
      </c>
      <c r="B20" s="31" t="s">
        <v>616</v>
      </c>
      <c r="C20" s="50" t="s">
        <v>616</v>
      </c>
      <c r="D20" s="27" t="s">
        <v>409</v>
      </c>
      <c r="E20" s="51" t="s">
        <v>617</v>
      </c>
      <c r="F20" s="27" t="s">
        <v>618</v>
      </c>
      <c r="G20" s="27" t="str">
        <f t="shared" si="0"/>
        <v>de5c886f-084d-40b4-af32-99bddccd482f-removebg-preview_w256.webp</v>
      </c>
      <c r="H20" s="26" t="s">
        <v>619</v>
      </c>
      <c r="I20" s="33" t="s">
        <v>620</v>
      </c>
      <c r="J20" s="33" t="s">
        <v>621</v>
      </c>
      <c r="K20" s="34" t="s">
        <v>622</v>
      </c>
      <c r="L20" s="27" t="s">
        <v>623</v>
      </c>
      <c r="M20" s="46" t="s">
        <v>624</v>
      </c>
      <c r="N20" s="27" t="s">
        <v>625</v>
      </c>
      <c r="O20" s="27" t="s">
        <v>626</v>
      </c>
      <c r="P20" s="27" t="s">
        <v>627</v>
      </c>
      <c r="Q20" s="36" t="s">
        <v>628</v>
      </c>
      <c r="R20" s="36" t="s">
        <v>629</v>
      </c>
      <c r="S20" s="36" t="s">
        <v>628</v>
      </c>
      <c r="T20" s="36" t="s">
        <v>630</v>
      </c>
      <c r="U20" s="36" t="s">
        <v>630</v>
      </c>
      <c r="V20" s="36"/>
      <c r="W20" s="36" t="s">
        <v>631</v>
      </c>
      <c r="X20" s="35" t="s">
        <v>632</v>
      </c>
      <c r="Y20" s="28"/>
      <c r="Z20" s="27" t="s">
        <v>633</v>
      </c>
      <c r="AA20" s="35" t="s">
        <v>132</v>
      </c>
      <c r="AB20" s="35"/>
      <c r="AC20" s="30" t="s">
        <v>634</v>
      </c>
      <c r="AD20" s="27" t="s">
        <v>635</v>
      </c>
      <c r="AE20" s="27" t="s">
        <v>636</v>
      </c>
      <c r="AF20" s="27" t="s">
        <v>637</v>
      </c>
      <c r="AG20" s="27" t="s">
        <v>638</v>
      </c>
      <c r="AH20" s="27" t="s">
        <v>639</v>
      </c>
      <c r="AI20" s="28"/>
      <c r="AJ20" s="41"/>
      <c r="AK20" s="41"/>
      <c r="AL20" s="41"/>
      <c r="AM20" s="27" t="s">
        <v>640</v>
      </c>
      <c r="AN20" s="27"/>
      <c r="AO20" s="27" t="s">
        <v>641</v>
      </c>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36"/>
      <c r="BT20" s="26" t="s">
        <v>150</v>
      </c>
      <c r="BU20" s="42" t="s">
        <v>151</v>
      </c>
      <c r="BV20" s="28" t="e">
        <f t="shared" ca="1" si="2"/>
        <v>#NAME?</v>
      </c>
      <c r="BW20" s="28"/>
      <c r="BX20" s="26" t="str">
        <f t="shared" si="5"/>
        <v>logo2.png</v>
      </c>
      <c r="BY20" s="28" t="s">
        <v>642</v>
      </c>
      <c r="BZ20" s="26" t="s">
        <v>643</v>
      </c>
      <c r="CA20" s="27" t="s">
        <v>623</v>
      </c>
      <c r="CB20" s="28"/>
      <c r="CC20" s="28"/>
      <c r="CD20" s="28"/>
      <c r="CE20" s="28"/>
      <c r="CF20" s="28"/>
      <c r="CG20" s="28"/>
    </row>
    <row r="21" spans="1:85" ht="15.75" customHeight="1" x14ac:dyDescent="0.2">
      <c r="A21" s="30" t="b">
        <v>1</v>
      </c>
      <c r="B21" s="31" t="s">
        <v>644</v>
      </c>
      <c r="C21" s="69" t="s">
        <v>644</v>
      </c>
      <c r="D21" s="27" t="s">
        <v>117</v>
      </c>
      <c r="E21" s="70" t="s">
        <v>645</v>
      </c>
      <c r="F21" s="27" t="s">
        <v>646</v>
      </c>
      <c r="G21" s="27" t="str">
        <f t="shared" si="0"/>
        <v>Ty_W128.webp</v>
      </c>
      <c r="H21" s="27" t="s">
        <v>647</v>
      </c>
      <c r="I21" s="70" t="s">
        <v>648</v>
      </c>
      <c r="J21" s="55" t="s">
        <v>649</v>
      </c>
      <c r="K21" s="45" t="s">
        <v>650</v>
      </c>
      <c r="L21" s="26" t="s">
        <v>651</v>
      </c>
      <c r="M21" s="53" t="s">
        <v>652</v>
      </c>
      <c r="N21" s="54" t="e">
        <f t="shared" ref="N21:N28" ca="1" si="9">p_GMapLink(M21)</f>
        <v>#NAME?</v>
      </c>
      <c r="O21" s="28"/>
      <c r="P21" s="28"/>
      <c r="Q21" s="36" t="s">
        <v>653</v>
      </c>
      <c r="R21" s="36" t="s">
        <v>654</v>
      </c>
      <c r="S21" s="36" t="s">
        <v>653</v>
      </c>
      <c r="T21" s="36" t="s">
        <v>655</v>
      </c>
      <c r="U21" s="36" t="s">
        <v>655</v>
      </c>
      <c r="V21" s="36"/>
      <c r="W21" s="47" t="e">
        <f t="shared" ref="W21:W22" si="10">Y21</f>
        <v>#REF!</v>
      </c>
      <c r="X21" s="35" t="s">
        <v>656</v>
      </c>
      <c r="Y21" s="28" t="e">
        <f>VLOOKUP(E21,#REF!, 10, FALSE)</f>
        <v>#REF!</v>
      </c>
      <c r="Z21" s="28" t="e">
        <f>VLOOKUP(E21,#REF!, 11, FALSE)</f>
        <v>#REF!</v>
      </c>
      <c r="AA21" s="35" t="s">
        <v>132</v>
      </c>
      <c r="AB21" s="35" t="e">
        <f>VLOOKUP(E21,#REF!, 12, FALSE)</f>
        <v>#REF!</v>
      </c>
      <c r="AC21" s="39" t="s">
        <v>657</v>
      </c>
      <c r="AD21" s="19" t="s">
        <v>658</v>
      </c>
      <c r="AE21" s="19" t="s">
        <v>659</v>
      </c>
      <c r="AF21" s="19" t="s">
        <v>660</v>
      </c>
      <c r="AG21" s="19" t="s">
        <v>661</v>
      </c>
      <c r="AH21" s="19" t="s">
        <v>662</v>
      </c>
      <c r="AI21" s="19" t="s">
        <v>663</v>
      </c>
      <c r="AJ21" s="19" t="s">
        <v>664</v>
      </c>
      <c r="AK21" s="41"/>
      <c r="AL21" s="41"/>
      <c r="AM21" s="19" t="s">
        <v>665</v>
      </c>
      <c r="AN21" s="27" t="s">
        <v>666</v>
      </c>
      <c r="AO21" s="26" t="s">
        <v>667</v>
      </c>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36"/>
      <c r="BT21" s="26" t="s">
        <v>150</v>
      </c>
      <c r="BU21" s="42" t="s">
        <v>151</v>
      </c>
      <c r="BV21" s="28" t="e">
        <f t="shared" ca="1" si="2"/>
        <v>#NAME?</v>
      </c>
      <c r="BW21" s="28"/>
      <c r="BX21" s="26" t="str">
        <f t="shared" si="5"/>
        <v>b9c9377e932a972ef1eb6dcebb36c796.jpg</v>
      </c>
      <c r="BY21" s="28" t="s">
        <v>668</v>
      </c>
      <c r="BZ21" s="27" t="s">
        <v>646</v>
      </c>
      <c r="CA21" s="26" t="s">
        <v>651</v>
      </c>
      <c r="CB21" s="28"/>
      <c r="CC21" s="28"/>
      <c r="CD21" s="28"/>
      <c r="CE21" s="28"/>
      <c r="CF21" s="28"/>
      <c r="CG21" s="28"/>
    </row>
    <row r="22" spans="1:85" ht="15.75" customHeight="1" x14ac:dyDescent="0.2">
      <c r="A22" s="27" t="b">
        <v>1</v>
      </c>
      <c r="B22" s="31" t="s">
        <v>669</v>
      </c>
      <c r="C22" s="74" t="s">
        <v>459</v>
      </c>
      <c r="D22" s="27" t="s">
        <v>117</v>
      </c>
      <c r="E22" s="33" t="s">
        <v>670</v>
      </c>
      <c r="F22" s="27" t="s">
        <v>671</v>
      </c>
      <c r="G22" s="27" t="str">
        <f t="shared" si="0"/>
        <v>NguyenVanNam-removebg-preview_w256.webp</v>
      </c>
      <c r="H22" s="26" t="s">
        <v>672</v>
      </c>
      <c r="I22" s="52" t="s">
        <v>673</v>
      </c>
      <c r="J22" s="52" t="s">
        <v>674</v>
      </c>
      <c r="K22" s="34" t="s">
        <v>675</v>
      </c>
      <c r="L22" s="26" t="s">
        <v>676</v>
      </c>
      <c r="M22" s="53" t="s">
        <v>677</v>
      </c>
      <c r="N22" s="54" t="e">
        <f t="shared" ca="1" si="9"/>
        <v>#NAME?</v>
      </c>
      <c r="O22" s="28"/>
      <c r="P22" s="28"/>
      <c r="Q22" s="78" t="s">
        <v>678</v>
      </c>
      <c r="R22" s="36" t="e">
        <f>VLOOKUP(E22,#REF!, 8, FALSE)</f>
        <v>#REF!</v>
      </c>
      <c r="S22" s="36" t="str">
        <f t="shared" ref="S22:S23" si="11">Q22</f>
        <v>0939982539</v>
      </c>
      <c r="T22" s="36" t="str">
        <f t="shared" ref="T22:T23" si="12">"84"&amp;IF(LEN(Q22)=10, RIGHT(Q22,9), Q22)</f>
        <v>84939982539</v>
      </c>
      <c r="U22" s="36" t="str">
        <f t="shared" ref="U22:U23" si="13">"84"&amp;IF(LEN(Q22)=10, RIGHT(Q22,9), Q22)</f>
        <v>84939982539</v>
      </c>
      <c r="V22" s="36"/>
      <c r="W22" s="47">
        <f t="shared" si="10"/>
        <v>0</v>
      </c>
      <c r="X22" s="35" t="s">
        <v>679</v>
      </c>
      <c r="Y22" s="28"/>
      <c r="Z22" s="57" t="s">
        <v>680</v>
      </c>
      <c r="AA22" s="28"/>
      <c r="AB22" s="35"/>
      <c r="AC22" s="83" t="s">
        <v>681</v>
      </c>
      <c r="AD22" s="77" t="s">
        <v>682</v>
      </c>
      <c r="AE22" s="76" t="s">
        <v>683</v>
      </c>
      <c r="AF22" s="53" t="s">
        <v>684</v>
      </c>
      <c r="AG22" s="41"/>
      <c r="AH22" s="41"/>
      <c r="AI22" s="41"/>
      <c r="AJ22" s="41"/>
      <c r="AK22" s="41"/>
      <c r="AL22" s="41"/>
      <c r="AM22" s="27"/>
      <c r="AN22" s="27"/>
      <c r="AO22" s="27"/>
      <c r="AP22" s="27"/>
      <c r="AQ22" s="27"/>
      <c r="AR22" s="27"/>
      <c r="AS22" s="27"/>
      <c r="AT22" s="27"/>
      <c r="AU22" s="27"/>
      <c r="AV22" s="27"/>
      <c r="AW22" s="27"/>
      <c r="AX22" s="27"/>
      <c r="AY22" s="28"/>
      <c r="AZ22" s="28"/>
      <c r="BA22" s="28"/>
      <c r="BB22" s="28"/>
      <c r="BC22" s="28"/>
      <c r="BD22" s="28"/>
      <c r="BE22" s="28"/>
      <c r="BF22" s="28"/>
      <c r="BG22" s="28"/>
      <c r="BH22" s="28"/>
      <c r="BI22" s="28"/>
      <c r="BJ22" s="28"/>
      <c r="BK22" s="28"/>
      <c r="BL22" s="28"/>
      <c r="BM22" s="28"/>
      <c r="BN22" s="28"/>
      <c r="BO22" s="28"/>
      <c r="BP22" s="28"/>
      <c r="BQ22" s="28"/>
      <c r="BR22" s="28"/>
      <c r="BS22" s="28"/>
      <c r="BT22" s="27" t="s">
        <v>173</v>
      </c>
      <c r="BU22" s="42" t="s">
        <v>151</v>
      </c>
      <c r="BV22" s="28" t="e">
        <f t="shared" ca="1" si="2"/>
        <v>#NAME?</v>
      </c>
      <c r="BW22" s="28"/>
      <c r="BX22" s="26" t="str">
        <f t="shared" si="5"/>
        <v>914a1ef98f02495c10131111-6003.png</v>
      </c>
      <c r="BY22" s="28" t="s">
        <v>685</v>
      </c>
      <c r="BZ22" s="26" t="s">
        <v>686</v>
      </c>
      <c r="CA22" s="26" t="s">
        <v>676</v>
      </c>
      <c r="CB22" s="28"/>
      <c r="CC22" s="28"/>
      <c r="CD22" s="28"/>
      <c r="CE22" s="28"/>
      <c r="CF22" s="28"/>
      <c r="CG22" s="28"/>
    </row>
    <row r="23" spans="1:85" ht="15.75" customHeight="1" x14ac:dyDescent="0.2">
      <c r="A23" s="27" t="b">
        <v>1</v>
      </c>
      <c r="B23" s="31" t="s">
        <v>687</v>
      </c>
      <c r="C23" s="69" t="s">
        <v>688</v>
      </c>
      <c r="D23" s="27" t="s">
        <v>409</v>
      </c>
      <c r="E23" s="70" t="s">
        <v>689</v>
      </c>
      <c r="F23" s="27" t="s">
        <v>690</v>
      </c>
      <c r="G23" s="27" t="str">
        <f t="shared" si="0"/>
        <v>1dd5c60a-4dec-4594-afdf-f1a8526281a5s_w256.webp</v>
      </c>
      <c r="H23" s="26" t="s">
        <v>515</v>
      </c>
      <c r="I23" s="55" t="s">
        <v>691</v>
      </c>
      <c r="J23" s="55" t="s">
        <v>692</v>
      </c>
      <c r="K23" s="45"/>
      <c r="L23" s="26" t="s">
        <v>693</v>
      </c>
      <c r="M23" s="53" t="s">
        <v>694</v>
      </c>
      <c r="N23" s="54" t="e">
        <f t="shared" ca="1" si="9"/>
        <v>#NAME?</v>
      </c>
      <c r="O23" s="28"/>
      <c r="P23" s="28"/>
      <c r="Q23" s="84" t="s">
        <v>695</v>
      </c>
      <c r="R23" s="85" t="s">
        <v>696</v>
      </c>
      <c r="S23" s="36" t="str">
        <f t="shared" si="11"/>
        <v>0776682786</v>
      </c>
      <c r="T23" s="36" t="str">
        <f t="shared" si="12"/>
        <v>84776682786</v>
      </c>
      <c r="U23" s="36" t="str">
        <f t="shared" si="13"/>
        <v>84776682786</v>
      </c>
      <c r="V23" s="36"/>
      <c r="W23" s="47"/>
      <c r="X23" s="35"/>
      <c r="Y23" s="86" t="s">
        <v>697</v>
      </c>
      <c r="Z23" s="28"/>
      <c r="AA23" s="28"/>
      <c r="AB23" s="35"/>
      <c r="AC23" s="55" t="s">
        <v>698</v>
      </c>
      <c r="AD23" s="77" t="s">
        <v>699</v>
      </c>
      <c r="AE23" s="19" t="s">
        <v>700</v>
      </c>
      <c r="AF23" s="19" t="s">
        <v>701</v>
      </c>
      <c r="AG23" s="26" t="s">
        <v>702</v>
      </c>
      <c r="AH23" s="26" t="s">
        <v>703</v>
      </c>
      <c r="AI23" s="28"/>
      <c r="AJ23" s="41"/>
      <c r="AK23" s="41"/>
      <c r="AL23" s="41"/>
      <c r="AM23" s="28"/>
      <c r="AN23" s="27"/>
      <c r="AO23" s="27"/>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7" t="s">
        <v>173</v>
      </c>
      <c r="BU23" s="42" t="s">
        <v>151</v>
      </c>
      <c r="BV23" s="28" t="e">
        <f t="shared" ca="1" si="2"/>
        <v>#NAME?</v>
      </c>
      <c r="BW23" s="28"/>
      <c r="BX23" s="26" t="str">
        <f t="shared" si="5"/>
        <v>6ccf39aa-ef3a-4321-843d-3aaee1d8e224.png</v>
      </c>
      <c r="BY23" s="28" t="s">
        <v>704</v>
      </c>
      <c r="BZ23" s="26" t="s">
        <v>705</v>
      </c>
      <c r="CA23" s="26" t="s">
        <v>693</v>
      </c>
      <c r="CB23" s="28"/>
      <c r="CC23" s="28"/>
      <c r="CD23" s="28"/>
      <c r="CE23" s="28"/>
      <c r="CF23" s="28"/>
      <c r="CG23" s="28"/>
    </row>
    <row r="24" spans="1:85" ht="15.75" customHeight="1" x14ac:dyDescent="0.2">
      <c r="A24" s="27" t="b">
        <v>1</v>
      </c>
      <c r="B24" s="31" t="s">
        <v>706</v>
      </c>
      <c r="C24" s="50" t="s">
        <v>707</v>
      </c>
      <c r="D24" s="27" t="s">
        <v>117</v>
      </c>
      <c r="E24" s="51" t="s">
        <v>708</v>
      </c>
      <c r="F24" s="27" t="s">
        <v>709</v>
      </c>
      <c r="G24" s="27" t="str">
        <f t="shared" si="0"/>
        <v>CaoThanhCong_w256.webp</v>
      </c>
      <c r="H24" s="26" t="s">
        <v>710</v>
      </c>
      <c r="I24" s="52" t="s">
        <v>711</v>
      </c>
      <c r="J24" s="52" t="s">
        <v>712</v>
      </c>
      <c r="K24" s="34" t="s">
        <v>713</v>
      </c>
      <c r="L24" s="26" t="s">
        <v>714</v>
      </c>
      <c r="M24" s="46" t="s">
        <v>715</v>
      </c>
      <c r="N24" s="54" t="e">
        <f t="shared" ca="1" si="9"/>
        <v>#NAME?</v>
      </c>
      <c r="O24" s="28"/>
      <c r="P24" s="28"/>
      <c r="Q24" s="36" t="s">
        <v>716</v>
      </c>
      <c r="R24" s="78" t="s">
        <v>717</v>
      </c>
      <c r="S24" s="36">
        <v>918919279</v>
      </c>
      <c r="T24" s="36" t="s">
        <v>718</v>
      </c>
      <c r="U24" s="36" t="s">
        <v>718</v>
      </c>
      <c r="V24" s="36"/>
      <c r="W24" s="37" t="str">
        <f>Y24</f>
        <v>https://www.facebook.com/CaoThanhCongOfficial</v>
      </c>
      <c r="X24" s="38" t="s">
        <v>719</v>
      </c>
      <c r="Y24" s="38" t="s">
        <v>720</v>
      </c>
      <c r="Z24" s="28"/>
      <c r="AA24" s="28"/>
      <c r="AB24" s="35"/>
      <c r="AC24" s="40" t="s">
        <v>721</v>
      </c>
      <c r="AD24" s="19" t="s">
        <v>722</v>
      </c>
      <c r="AE24" s="19" t="s">
        <v>723</v>
      </c>
      <c r="AF24" s="19" t="s">
        <v>724</v>
      </c>
      <c r="AG24" s="19"/>
      <c r="AH24" s="19"/>
      <c r="AI24" s="19"/>
      <c r="AJ24" s="19"/>
      <c r="AK24" s="41"/>
      <c r="AL24" s="41"/>
      <c r="AM24" s="19" t="s">
        <v>725</v>
      </c>
      <c r="AN24" s="27"/>
      <c r="AO24" s="26" t="s">
        <v>726</v>
      </c>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7" t="s">
        <v>173</v>
      </c>
      <c r="BU24" s="42" t="s">
        <v>151</v>
      </c>
      <c r="BV24" s="28" t="e">
        <f t="shared" ca="1" si="2"/>
        <v>#NAME?</v>
      </c>
      <c r="BW24" s="28"/>
      <c r="BX24" s="26" t="str">
        <f t="shared" si="5"/>
        <v>Screenshot 2026-03-18 124814.png</v>
      </c>
      <c r="BY24" s="28" t="s">
        <v>727</v>
      </c>
      <c r="BZ24" s="27" t="s">
        <v>728</v>
      </c>
      <c r="CA24" s="26" t="s">
        <v>714</v>
      </c>
      <c r="CB24" s="28"/>
      <c r="CC24" s="28"/>
      <c r="CD24" s="28"/>
      <c r="CE24" s="28"/>
      <c r="CF24" s="28"/>
      <c r="CG24" s="28"/>
    </row>
    <row r="25" spans="1:85" ht="15.75" customHeight="1" x14ac:dyDescent="0.2">
      <c r="A25" s="30" t="b">
        <v>1</v>
      </c>
      <c r="B25" s="31" t="s">
        <v>729</v>
      </c>
      <c r="C25" s="69" t="s">
        <v>730</v>
      </c>
      <c r="D25" s="27" t="s">
        <v>409</v>
      </c>
      <c r="E25" s="70" t="s">
        <v>731</v>
      </c>
      <c r="F25" s="27" t="s">
        <v>732</v>
      </c>
      <c r="G25" s="27" t="str">
        <f t="shared" si="0"/>
        <v>66ce2137-aa87-48ad-be3f-0c480771472a_w256.webp</v>
      </c>
      <c r="H25" s="26" t="s">
        <v>733</v>
      </c>
      <c r="I25" s="70" t="str">
        <f>UPPER("Công ty TNHH Thương Mại và Dịch Vụ thực phẩm An phát")</f>
        <v>CÔNG TY TNHH THƯƠNG MẠI VÀ DỊCH VỤ THỰC PHẨM AN PHÁT</v>
      </c>
      <c r="J25" s="55" t="s">
        <v>734</v>
      </c>
      <c r="K25" s="45" t="s">
        <v>735</v>
      </c>
      <c r="L25" s="26" t="s">
        <v>736</v>
      </c>
      <c r="M25" s="53" t="s">
        <v>737</v>
      </c>
      <c r="N25" s="54" t="e">
        <f t="shared" ca="1" si="9"/>
        <v>#NAME?</v>
      </c>
      <c r="O25" s="26" t="s">
        <v>738</v>
      </c>
      <c r="P25" s="54" t="e">
        <f t="shared" ref="P25:P26" ca="1" si="14">p_GMapLink(O25)</f>
        <v>#NAME?</v>
      </c>
      <c r="Q25" s="84" t="s">
        <v>739</v>
      </c>
      <c r="R25" s="85" t="s">
        <v>740</v>
      </c>
      <c r="S25" s="36" t="str">
        <f t="shared" ref="S25:S26" si="15">Q25</f>
        <v>0935996668</v>
      </c>
      <c r="T25" s="36" t="str">
        <f t="shared" ref="T25:T26" si="16">"84"&amp;IF(LEN(Q25)=10, RIGHT(Q25,9), Q25)</f>
        <v>84935996668</v>
      </c>
      <c r="U25" s="36" t="str">
        <f t="shared" ref="U25:U26" si="17">"84"&amp;IF(LEN(Q25)=10, RIGHT(Q25,9), Q25)</f>
        <v>84935996668</v>
      </c>
      <c r="V25" s="36"/>
      <c r="W25" s="47"/>
      <c r="X25" s="79" t="s">
        <v>741</v>
      </c>
      <c r="Y25" s="28"/>
      <c r="Z25" s="28"/>
      <c r="AA25" s="35" t="s">
        <v>132</v>
      </c>
      <c r="AB25" s="35"/>
      <c r="AC25" s="39" t="s">
        <v>742</v>
      </c>
      <c r="AD25" s="19" t="s">
        <v>743</v>
      </c>
      <c r="AE25" s="19" t="s">
        <v>744</v>
      </c>
      <c r="AF25" s="19" t="s">
        <v>745</v>
      </c>
      <c r="AG25" s="19" t="s">
        <v>746</v>
      </c>
      <c r="AH25" s="19" t="s">
        <v>747</v>
      </c>
      <c r="AI25" s="19" t="s">
        <v>748</v>
      </c>
      <c r="AJ25" s="19" t="s">
        <v>749</v>
      </c>
      <c r="AK25" s="41"/>
      <c r="AL25" s="41"/>
      <c r="AM25" s="19" t="s">
        <v>750</v>
      </c>
      <c r="AN25" s="27"/>
      <c r="AO25" s="26" t="s">
        <v>751</v>
      </c>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6" t="s">
        <v>150</v>
      </c>
      <c r="BU25" s="42" t="s">
        <v>151</v>
      </c>
      <c r="BV25" s="28" t="e">
        <f t="shared" ca="1" si="2"/>
        <v>#NAME?</v>
      </c>
      <c r="BW25" s="28"/>
      <c r="BX25" s="26" t="str">
        <f t="shared" si="5"/>
        <v>Screenshot 2026-03-18 130140.png</v>
      </c>
      <c r="BY25" s="28" t="s">
        <v>752</v>
      </c>
      <c r="BZ25" s="26" t="s">
        <v>753</v>
      </c>
      <c r="CA25" s="26" t="s">
        <v>736</v>
      </c>
      <c r="CB25" s="28"/>
      <c r="CC25" s="28"/>
      <c r="CD25" s="28"/>
      <c r="CE25" s="28"/>
      <c r="CF25" s="28"/>
      <c r="CG25" s="28"/>
    </row>
    <row r="26" spans="1:85" ht="15.75" customHeight="1" x14ac:dyDescent="0.2">
      <c r="A26" s="30" t="b">
        <v>1</v>
      </c>
      <c r="B26" s="31" t="s">
        <v>754</v>
      </c>
      <c r="C26" s="50" t="s">
        <v>755</v>
      </c>
      <c r="D26" s="27" t="s">
        <v>117</v>
      </c>
      <c r="E26" s="51" t="s">
        <v>756</v>
      </c>
      <c r="F26" s="27" t="s">
        <v>757</v>
      </c>
      <c r="G26" s="27" t="str">
        <f t="shared" si="0"/>
        <v>Phuc_w256.webp</v>
      </c>
      <c r="H26" s="26" t="s">
        <v>758</v>
      </c>
      <c r="I26" s="51" t="s">
        <v>759</v>
      </c>
      <c r="J26" s="52" t="s">
        <v>760</v>
      </c>
      <c r="K26" s="34" t="s">
        <v>761</v>
      </c>
      <c r="L26" s="26" t="s">
        <v>762</v>
      </c>
      <c r="M26" s="53" t="s">
        <v>763</v>
      </c>
      <c r="N26" s="54" t="e">
        <f t="shared" ca="1" si="9"/>
        <v>#NAME?</v>
      </c>
      <c r="O26" s="26" t="s">
        <v>764</v>
      </c>
      <c r="P26" s="54" t="e">
        <f t="shared" ca="1" si="14"/>
        <v>#NAME?</v>
      </c>
      <c r="Q26" s="78" t="e">
        <f>VLOOKUP(E26,#REF!, 7, FALSE)</f>
        <v>#REF!</v>
      </c>
      <c r="R26" s="36" t="e">
        <f>VLOOKUP(E26,#REF!, 8, FALSE)</f>
        <v>#REF!</v>
      </c>
      <c r="S26" s="36" t="e">
        <f t="shared" si="15"/>
        <v>#REF!</v>
      </c>
      <c r="T26" s="36" t="e">
        <f t="shared" si="16"/>
        <v>#REF!</v>
      </c>
      <c r="U26" s="36" t="e">
        <f t="shared" si="17"/>
        <v>#REF!</v>
      </c>
      <c r="V26" s="36"/>
      <c r="W26" s="57" t="s">
        <v>765</v>
      </c>
      <c r="X26" s="87" t="str">
        <f>W26</f>
        <v>https://fb.com/phucnguyen2601</v>
      </c>
      <c r="Y26" s="38" t="s">
        <v>766</v>
      </c>
      <c r="Z26" s="28" t="e">
        <f>VLOOKUP(E26,#REF!, 11, FALSE)</f>
        <v>#REF!</v>
      </c>
      <c r="AA26" s="35" t="s">
        <v>132</v>
      </c>
      <c r="AB26" s="35" t="e">
        <f>VLOOKUP(E26,#REF!, 12, FALSE)</f>
        <v>#REF!</v>
      </c>
      <c r="AC26" s="40" t="s">
        <v>767</v>
      </c>
      <c r="AD26" s="19" t="s">
        <v>768</v>
      </c>
      <c r="AE26" s="19" t="s">
        <v>769</v>
      </c>
      <c r="AF26" s="19" t="s">
        <v>770</v>
      </c>
      <c r="AG26" s="19" t="s">
        <v>771</v>
      </c>
      <c r="AH26" s="19" t="s">
        <v>772</v>
      </c>
      <c r="AI26" s="19" t="s">
        <v>773</v>
      </c>
      <c r="AJ26" s="19" t="s">
        <v>774</v>
      </c>
      <c r="AK26" s="41"/>
      <c r="AL26" s="41"/>
      <c r="AM26" s="19" t="s">
        <v>775</v>
      </c>
      <c r="AN26" s="26" t="s">
        <v>776</v>
      </c>
      <c r="AO26" s="26" t="s">
        <v>777</v>
      </c>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6" t="s">
        <v>150</v>
      </c>
      <c r="BU26" s="42" t="s">
        <v>151</v>
      </c>
      <c r="BV26" s="28" t="e">
        <f t="shared" ca="1" si="2"/>
        <v>#NAME?</v>
      </c>
      <c r="BW26" s="28"/>
      <c r="BX26" s="26" t="str">
        <f t="shared" si="5"/>
        <v>593585738_2249557835470958_2944363345951452713_n.jpg</v>
      </c>
      <c r="BY26" s="28" t="s">
        <v>778</v>
      </c>
      <c r="BZ26" s="26" t="s">
        <v>779</v>
      </c>
      <c r="CA26" s="26" t="s">
        <v>762</v>
      </c>
      <c r="CB26" s="28"/>
      <c r="CC26" s="28"/>
      <c r="CD26" s="28"/>
      <c r="CE26" s="28"/>
      <c r="CF26" s="28"/>
      <c r="CG26" s="28"/>
    </row>
    <row r="27" spans="1:85" ht="15.75" customHeight="1" x14ac:dyDescent="0.2">
      <c r="A27" s="30" t="b">
        <v>1</v>
      </c>
      <c r="B27" s="31" t="s">
        <v>780</v>
      </c>
      <c r="C27" s="69" t="s">
        <v>687</v>
      </c>
      <c r="D27" s="27" t="s">
        <v>409</v>
      </c>
      <c r="E27" s="43" t="s">
        <v>781</v>
      </c>
      <c r="F27" s="26" t="s">
        <v>782</v>
      </c>
      <c r="G27" s="27" t="str">
        <f t="shared" si="0"/>
        <v>Nhan2_W128.webp</v>
      </c>
      <c r="H27" s="26" t="s">
        <v>783</v>
      </c>
      <c r="I27" s="70" t="s">
        <v>784</v>
      </c>
      <c r="J27" s="55" t="s">
        <v>785</v>
      </c>
      <c r="K27" s="45" t="s">
        <v>786</v>
      </c>
      <c r="L27" s="28" t="s">
        <v>787</v>
      </c>
      <c r="M27" s="53" t="s">
        <v>788</v>
      </c>
      <c r="N27" s="54" t="e">
        <f t="shared" ca="1" si="9"/>
        <v>#NAME?</v>
      </c>
      <c r="O27" s="28"/>
      <c r="P27" s="28"/>
      <c r="Q27" s="78" t="s">
        <v>789</v>
      </c>
      <c r="R27" s="88" t="s">
        <v>790</v>
      </c>
      <c r="S27" s="78" t="s">
        <v>789</v>
      </c>
      <c r="T27" s="78" t="s">
        <v>791</v>
      </c>
      <c r="U27" s="78" t="s">
        <v>791</v>
      </c>
      <c r="V27" s="36"/>
      <c r="W27" s="47"/>
      <c r="X27" s="35" t="s">
        <v>792</v>
      </c>
      <c r="Y27" s="28"/>
      <c r="Z27" s="28"/>
      <c r="AA27" s="35" t="s">
        <v>132</v>
      </c>
      <c r="AB27" s="35"/>
      <c r="AC27" s="39" t="s">
        <v>793</v>
      </c>
      <c r="AD27" s="19" t="s">
        <v>794</v>
      </c>
      <c r="AE27" s="19" t="s">
        <v>795</v>
      </c>
      <c r="AF27" s="19" t="s">
        <v>796</v>
      </c>
      <c r="AG27" s="19" t="s">
        <v>797</v>
      </c>
      <c r="AH27" s="19" t="s">
        <v>798</v>
      </c>
      <c r="AI27" s="19" t="s">
        <v>799</v>
      </c>
      <c r="AJ27" s="19" t="s">
        <v>800</v>
      </c>
      <c r="AK27" s="41"/>
      <c r="AL27" s="41"/>
      <c r="AM27" s="28"/>
      <c r="AN27" s="27" t="s">
        <v>801</v>
      </c>
      <c r="AO27" s="26" t="s">
        <v>802</v>
      </c>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36"/>
      <c r="BT27" s="26" t="s">
        <v>150</v>
      </c>
      <c r="BU27" s="42" t="s">
        <v>151</v>
      </c>
      <c r="BV27" s="28" t="e">
        <f t="shared" ca="1" si="2"/>
        <v>#NAME?</v>
      </c>
      <c r="BW27" s="28"/>
      <c r="BX27" s="26" t="str">
        <f t="shared" si="5"/>
        <v>binhminhsafety.png</v>
      </c>
      <c r="BY27" s="28" t="s">
        <v>803</v>
      </c>
      <c r="BZ27" s="26" t="s">
        <v>782</v>
      </c>
      <c r="CA27" s="28" t="s">
        <v>787</v>
      </c>
      <c r="CB27" s="28"/>
      <c r="CC27" s="28"/>
      <c r="CD27" s="28"/>
      <c r="CE27" s="28"/>
      <c r="CF27" s="28"/>
      <c r="CG27" s="28"/>
    </row>
    <row r="28" spans="1:85" ht="15.75" customHeight="1" x14ac:dyDescent="0.2">
      <c r="A28" s="27" t="b">
        <v>1</v>
      </c>
      <c r="B28" s="31" t="s">
        <v>804</v>
      </c>
      <c r="C28" s="50" t="s">
        <v>805</v>
      </c>
      <c r="D28" s="27" t="s">
        <v>117</v>
      </c>
      <c r="E28" s="51" t="s">
        <v>806</v>
      </c>
      <c r="F28" s="27" t="s">
        <v>807</v>
      </c>
      <c r="G28" s="27" t="str">
        <f t="shared" si="0"/>
        <v>Tue_w256.webp</v>
      </c>
      <c r="H28" s="26" t="s">
        <v>733</v>
      </c>
      <c r="I28" s="52" t="s">
        <v>808</v>
      </c>
      <c r="J28" s="52" t="s">
        <v>809</v>
      </c>
      <c r="K28" s="34" t="s">
        <v>810</v>
      </c>
      <c r="L28" s="26" t="s">
        <v>811</v>
      </c>
      <c r="M28" s="53" t="s">
        <v>812</v>
      </c>
      <c r="N28" s="54" t="e">
        <f t="shared" ca="1" si="9"/>
        <v>#NAME?</v>
      </c>
      <c r="O28" s="28"/>
      <c r="P28" s="28"/>
      <c r="Q28" s="36" t="s">
        <v>813</v>
      </c>
      <c r="R28" s="36" t="s">
        <v>814</v>
      </c>
      <c r="S28" s="36" t="s">
        <v>813</v>
      </c>
      <c r="T28" s="36" t="s">
        <v>815</v>
      </c>
      <c r="U28" s="36" t="s">
        <v>815</v>
      </c>
      <c r="V28" s="36"/>
      <c r="W28" s="47">
        <f>Y28</f>
        <v>0</v>
      </c>
      <c r="X28" s="38" t="s">
        <v>816</v>
      </c>
      <c r="Y28" s="28"/>
      <c r="Z28" s="28"/>
      <c r="AA28" s="28"/>
      <c r="AB28" s="35"/>
      <c r="AC28" s="40" t="s">
        <v>817</v>
      </c>
      <c r="AD28" s="19" t="s">
        <v>818</v>
      </c>
      <c r="AE28" s="19" t="s">
        <v>819</v>
      </c>
      <c r="AF28" s="19" t="s">
        <v>820</v>
      </c>
      <c r="AG28" s="19" t="s">
        <v>821</v>
      </c>
      <c r="AH28" s="19" t="s">
        <v>822</v>
      </c>
      <c r="AI28" s="19" t="s">
        <v>823</v>
      </c>
      <c r="AJ28" s="19" t="s">
        <v>824</v>
      </c>
      <c r="AK28" s="41"/>
      <c r="AL28" s="41"/>
      <c r="AM28" s="26" t="s">
        <v>825</v>
      </c>
      <c r="AN28" s="27" t="s">
        <v>826</v>
      </c>
      <c r="AO28" s="38" t="s">
        <v>827</v>
      </c>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36"/>
      <c r="BT28" s="27" t="s">
        <v>173</v>
      </c>
      <c r="BU28" s="42" t="s">
        <v>151</v>
      </c>
      <c r="BV28" s="28" t="e">
        <f t="shared" ca="1" si="2"/>
        <v>#NAME?</v>
      </c>
      <c r="BW28" s="28"/>
      <c r="BX28" s="26" t="str">
        <f t="shared" si="5"/>
        <v>Screenshot 2026-03-18 180256.png</v>
      </c>
      <c r="BY28" s="28" t="s">
        <v>828</v>
      </c>
      <c r="BZ28" s="26" t="s">
        <v>829</v>
      </c>
      <c r="CA28" s="26" t="s">
        <v>811</v>
      </c>
      <c r="CB28" s="28"/>
      <c r="CC28" s="28"/>
      <c r="CD28" s="28"/>
      <c r="CE28" s="28"/>
      <c r="CF28" s="28"/>
      <c r="CG28" s="28"/>
    </row>
    <row r="29" spans="1:85" ht="15.75" customHeight="1" x14ac:dyDescent="0.2">
      <c r="A29" s="30" t="b">
        <v>1</v>
      </c>
      <c r="B29" s="31" t="s">
        <v>830</v>
      </c>
      <c r="C29" s="69" t="s">
        <v>804</v>
      </c>
      <c r="D29" s="27" t="s">
        <v>117</v>
      </c>
      <c r="E29" s="70" t="s">
        <v>831</v>
      </c>
      <c r="F29" s="27" t="s">
        <v>832</v>
      </c>
      <c r="G29" s="27" t="str">
        <f t="shared" si="0"/>
        <v>LHV-SR_w256.webp</v>
      </c>
      <c r="H29" s="27" t="s">
        <v>833</v>
      </c>
      <c r="I29" s="70" t="s">
        <v>834</v>
      </c>
      <c r="J29" s="43" t="s">
        <v>835</v>
      </c>
      <c r="K29" s="45" t="s">
        <v>836</v>
      </c>
      <c r="L29" s="27" t="s">
        <v>623</v>
      </c>
      <c r="M29" s="89" t="s">
        <v>837</v>
      </c>
      <c r="N29" s="90" t="s">
        <v>838</v>
      </c>
      <c r="O29" s="27" t="s">
        <v>839</v>
      </c>
      <c r="P29" s="35" t="s">
        <v>840</v>
      </c>
      <c r="Q29" s="36" t="s">
        <v>841</v>
      </c>
      <c r="R29" s="36" t="s">
        <v>842</v>
      </c>
      <c r="S29" s="36" t="s">
        <v>841</v>
      </c>
      <c r="T29" s="36" t="s">
        <v>843</v>
      </c>
      <c r="U29" s="36" t="s">
        <v>843</v>
      </c>
      <c r="V29" s="36"/>
      <c r="W29" s="36" t="s">
        <v>844</v>
      </c>
      <c r="X29" s="35" t="s">
        <v>845</v>
      </c>
      <c r="Y29" s="35" t="s">
        <v>846</v>
      </c>
      <c r="Z29" s="35" t="s">
        <v>847</v>
      </c>
      <c r="AA29" s="91" t="s">
        <v>848</v>
      </c>
      <c r="AB29" s="35"/>
      <c r="AC29" s="92" t="s">
        <v>849</v>
      </c>
      <c r="AD29" s="49" t="s">
        <v>850</v>
      </c>
      <c r="AE29" s="49" t="s">
        <v>851</v>
      </c>
      <c r="AF29" s="49" t="s">
        <v>852</v>
      </c>
      <c r="AG29" s="49" t="s">
        <v>853</v>
      </c>
      <c r="AH29" s="49" t="s">
        <v>854</v>
      </c>
      <c r="AI29" s="49"/>
      <c r="AJ29" s="41"/>
      <c r="AK29" s="41"/>
      <c r="AL29" s="41"/>
      <c r="AM29" s="27" t="s">
        <v>855</v>
      </c>
      <c r="AN29" s="27" t="s">
        <v>856</v>
      </c>
      <c r="AO29" s="27" t="s">
        <v>857</v>
      </c>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36"/>
      <c r="BT29" s="27" t="s">
        <v>858</v>
      </c>
      <c r="BU29" s="42" t="s">
        <v>151</v>
      </c>
      <c r="BV29" s="28" t="e">
        <f t="shared" ca="1" si="2"/>
        <v>#NAME?</v>
      </c>
      <c r="BW29" s="28"/>
      <c r="BX29" s="26" t="str">
        <f t="shared" si="5"/>
        <v>logo2.png</v>
      </c>
      <c r="BY29" s="28" t="s">
        <v>642</v>
      </c>
      <c r="BZ29" s="27" t="s">
        <v>859</v>
      </c>
      <c r="CA29" s="27" t="s">
        <v>623</v>
      </c>
      <c r="CB29" s="28"/>
      <c r="CC29" s="28"/>
      <c r="CD29" s="28"/>
      <c r="CE29" s="28"/>
      <c r="CF29" s="28"/>
      <c r="CG29" s="28"/>
    </row>
    <row r="30" spans="1:85" ht="15.75" customHeight="1" x14ac:dyDescent="0.2">
      <c r="A30" s="30" t="b">
        <v>1</v>
      </c>
      <c r="B30" s="31" t="s">
        <v>860</v>
      </c>
      <c r="C30" s="50" t="s">
        <v>706</v>
      </c>
      <c r="D30" s="27" t="s">
        <v>409</v>
      </c>
      <c r="E30" s="51" t="s">
        <v>861</v>
      </c>
      <c r="F30" s="27" t="s">
        <v>862</v>
      </c>
      <c r="G30" s="27" t="str">
        <f t="shared" si="0"/>
        <v>21277f7ca6e128bf71f0_w256.webp</v>
      </c>
      <c r="H30" s="27" t="s">
        <v>833</v>
      </c>
      <c r="I30" s="51" t="s">
        <v>863</v>
      </c>
      <c r="J30" s="33" t="s">
        <v>864</v>
      </c>
      <c r="K30" s="34" t="s">
        <v>865</v>
      </c>
      <c r="L30" s="27" t="s">
        <v>866</v>
      </c>
      <c r="M30" s="93" t="s">
        <v>867</v>
      </c>
      <c r="N30" s="35" t="s">
        <v>868</v>
      </c>
      <c r="O30" s="28"/>
      <c r="P30" s="28"/>
      <c r="Q30" s="36" t="s">
        <v>869</v>
      </c>
      <c r="R30" s="94" t="s">
        <v>870</v>
      </c>
      <c r="S30" s="36" t="s">
        <v>869</v>
      </c>
      <c r="T30" s="36" t="s">
        <v>871</v>
      </c>
      <c r="U30" s="36" t="s">
        <v>871</v>
      </c>
      <c r="V30" s="36"/>
      <c r="W30" s="47">
        <f t="shared" ref="W30:W38" si="18">Y30</f>
        <v>0</v>
      </c>
      <c r="X30" s="35" t="s">
        <v>872</v>
      </c>
      <c r="Y30" s="28"/>
      <c r="Z30" s="28"/>
      <c r="AA30" s="35" t="s">
        <v>132</v>
      </c>
      <c r="AB30" s="35"/>
      <c r="AC30" s="30" t="s">
        <v>873</v>
      </c>
      <c r="AD30" s="27" t="s">
        <v>874</v>
      </c>
      <c r="AE30" s="27" t="s">
        <v>875</v>
      </c>
      <c r="AF30" s="27" t="s">
        <v>876</v>
      </c>
      <c r="AG30" s="27" t="s">
        <v>877</v>
      </c>
      <c r="AH30" s="27" t="s">
        <v>878</v>
      </c>
      <c r="AI30" s="27"/>
      <c r="AJ30" s="41"/>
      <c r="AK30" s="41"/>
      <c r="AL30" s="41"/>
      <c r="AM30" s="95" t="s">
        <v>879</v>
      </c>
      <c r="AN30" s="27"/>
      <c r="AO30" s="27" t="e">
        <v>#N/A</v>
      </c>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36"/>
      <c r="BT30" s="26" t="s">
        <v>150</v>
      </c>
      <c r="BU30" s="42" t="s">
        <v>151</v>
      </c>
      <c r="BV30" s="28" t="e">
        <f t="shared" ca="1" si="2"/>
        <v>#NAME?</v>
      </c>
      <c r="BW30" s="28"/>
      <c r="BX30" s="26" t="str">
        <f t="shared" si="5"/>
        <v>7a6b3a69-6d79-4191-9b47-45b9addd184e.jpg</v>
      </c>
      <c r="BY30" s="28" t="s">
        <v>880</v>
      </c>
      <c r="BZ30" s="27" t="s">
        <v>881</v>
      </c>
      <c r="CA30" s="27" t="s">
        <v>866</v>
      </c>
      <c r="CB30" s="28"/>
      <c r="CC30" s="28"/>
      <c r="CD30" s="28"/>
      <c r="CE30" s="28"/>
      <c r="CF30" s="28"/>
      <c r="CG30" s="28"/>
    </row>
    <row r="31" spans="1:85" ht="15.75" customHeight="1" x14ac:dyDescent="0.2">
      <c r="A31" s="27" t="b">
        <v>1</v>
      </c>
      <c r="B31" s="96" t="s">
        <v>882</v>
      </c>
      <c r="C31" s="69" t="s">
        <v>883</v>
      </c>
      <c r="D31" s="27" t="s">
        <v>117</v>
      </c>
      <c r="E31" s="70" t="s">
        <v>884</v>
      </c>
      <c r="F31" s="27" t="s">
        <v>885</v>
      </c>
      <c r="G31" s="27" t="str">
        <f t="shared" si="0"/>
        <v>3x4_w256.webp</v>
      </c>
      <c r="H31" s="26" t="s">
        <v>886</v>
      </c>
      <c r="I31" s="55" t="s">
        <v>887</v>
      </c>
      <c r="J31" s="55" t="s">
        <v>888</v>
      </c>
      <c r="K31" s="45"/>
      <c r="L31" s="26" t="s">
        <v>889</v>
      </c>
      <c r="M31" s="53" t="s">
        <v>890</v>
      </c>
      <c r="N31" s="54" t="e">
        <f ca="1">p_GMapLink(M31)</f>
        <v>#NAME?</v>
      </c>
      <c r="O31" s="28"/>
      <c r="P31" s="28"/>
      <c r="Q31" s="78" t="s">
        <v>891</v>
      </c>
      <c r="R31" s="19" t="s">
        <v>892</v>
      </c>
      <c r="S31" s="36" t="str">
        <f>Q31</f>
        <v>0949215868</v>
      </c>
      <c r="T31" s="36" t="str">
        <f>"84"&amp;IF(LEN(Q31)=10, RIGHT(Q31,9), Q31)</f>
        <v>84949215868</v>
      </c>
      <c r="U31" s="36" t="str">
        <f>"84"&amp;IF(LEN(Q31)=10, RIGHT(Q31,9), Q31)</f>
        <v>84949215868</v>
      </c>
      <c r="V31" s="36"/>
      <c r="W31" s="37" t="str">
        <f t="shared" si="18"/>
        <v>https://www.facebook.com/info.gfg/</v>
      </c>
      <c r="X31" s="38" t="s">
        <v>893</v>
      </c>
      <c r="Y31" s="57" t="s">
        <v>894</v>
      </c>
      <c r="Z31" s="28"/>
      <c r="AA31" s="35" t="s">
        <v>132</v>
      </c>
      <c r="AB31" s="35"/>
      <c r="AC31" s="71" t="s">
        <v>895</v>
      </c>
      <c r="AD31" s="19" t="s">
        <v>896</v>
      </c>
      <c r="AE31" s="19" t="s">
        <v>897</v>
      </c>
      <c r="AF31" s="19" t="s">
        <v>898</v>
      </c>
      <c r="AG31" s="19" t="s">
        <v>899</v>
      </c>
      <c r="AH31" s="19" t="s">
        <v>900</v>
      </c>
      <c r="AI31" s="19" t="s">
        <v>901</v>
      </c>
      <c r="AJ31" s="19" t="s">
        <v>902</v>
      </c>
      <c r="AK31" s="41"/>
      <c r="AL31" s="41"/>
      <c r="AM31" s="19" t="s">
        <v>903</v>
      </c>
      <c r="AN31" s="27"/>
      <c r="AO31" s="26" t="s">
        <v>904</v>
      </c>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7" t="s">
        <v>173</v>
      </c>
      <c r="BU31" s="42" t="s">
        <v>151</v>
      </c>
      <c r="BV31" s="28" t="e">
        <f t="shared" ca="1" si="2"/>
        <v>#NAME?</v>
      </c>
      <c r="BW31" s="28"/>
      <c r="BX31" s="26" t="str">
        <f t="shared" si="5"/>
        <v>Thumb.png</v>
      </c>
      <c r="BY31" s="28" t="s">
        <v>905</v>
      </c>
      <c r="BZ31" s="26" t="s">
        <v>906</v>
      </c>
      <c r="CA31" s="26" t="s">
        <v>889</v>
      </c>
      <c r="CB31" s="28"/>
      <c r="CC31" s="28"/>
      <c r="CD31" s="28"/>
      <c r="CE31" s="28"/>
      <c r="CF31" s="28"/>
      <c r="CG31" s="28"/>
    </row>
    <row r="32" spans="1:85" ht="15.75" customHeight="1" x14ac:dyDescent="0.2">
      <c r="A32" s="27" t="b">
        <v>1</v>
      </c>
      <c r="B32" s="31" t="s">
        <v>907</v>
      </c>
      <c r="C32" s="32" t="s">
        <v>322</v>
      </c>
      <c r="D32" s="27" t="s">
        <v>117</v>
      </c>
      <c r="E32" s="33" t="s">
        <v>908</v>
      </c>
      <c r="F32" s="27" t="s">
        <v>909</v>
      </c>
      <c r="G32" s="27" t="str">
        <f t="shared" si="0"/>
        <v>cdbdf7c2-7fdc-4d5b-8697-faca30aeb500-removebg-preview_w256.webp</v>
      </c>
      <c r="H32" s="27" t="s">
        <v>833</v>
      </c>
      <c r="I32" s="33" t="s">
        <v>910</v>
      </c>
      <c r="J32" s="33" t="s">
        <v>911</v>
      </c>
      <c r="K32" s="34" t="s">
        <v>912</v>
      </c>
      <c r="L32" s="26" t="s">
        <v>913</v>
      </c>
      <c r="M32" s="53" t="s">
        <v>914</v>
      </c>
      <c r="N32" s="57" t="s">
        <v>915</v>
      </c>
      <c r="O32" s="28"/>
      <c r="P32" s="28"/>
      <c r="Q32" s="36" t="s">
        <v>916</v>
      </c>
      <c r="R32" s="36" t="s">
        <v>917</v>
      </c>
      <c r="S32" s="36" t="s">
        <v>916</v>
      </c>
      <c r="T32" s="36" t="s">
        <v>918</v>
      </c>
      <c r="U32" s="36" t="s">
        <v>918</v>
      </c>
      <c r="V32" s="36"/>
      <c r="W32" s="47">
        <f t="shared" si="18"/>
        <v>0</v>
      </c>
      <c r="X32" s="35" t="s">
        <v>919</v>
      </c>
      <c r="Y32" s="28"/>
      <c r="Z32" s="28"/>
      <c r="AA32" s="97" t="s">
        <v>132</v>
      </c>
      <c r="AB32" s="98"/>
      <c r="AC32" s="83" t="s">
        <v>920</v>
      </c>
      <c r="AD32" s="53" t="s">
        <v>921</v>
      </c>
      <c r="AE32" s="76" t="s">
        <v>922</v>
      </c>
      <c r="AF32" s="53" t="s">
        <v>923</v>
      </c>
      <c r="AG32" s="53" t="s">
        <v>924</v>
      </c>
      <c r="AH32" s="53" t="s">
        <v>925</v>
      </c>
      <c r="AI32" s="41"/>
      <c r="AJ32" s="41"/>
      <c r="AK32" s="41"/>
      <c r="AL32" s="41"/>
      <c r="AM32" s="27" t="s">
        <v>926</v>
      </c>
      <c r="AN32" s="27"/>
      <c r="AO32" s="27"/>
      <c r="AP32" s="27"/>
      <c r="AQ32" s="27"/>
      <c r="AR32" s="27"/>
      <c r="AS32" s="27"/>
      <c r="AT32" s="27"/>
      <c r="AU32" s="27"/>
      <c r="AV32" s="27"/>
      <c r="AW32" s="27"/>
      <c r="AX32" s="27"/>
      <c r="AY32" s="28"/>
      <c r="AZ32" s="28"/>
      <c r="BA32" s="28"/>
      <c r="BB32" s="28"/>
      <c r="BC32" s="28"/>
      <c r="BD32" s="28"/>
      <c r="BE32" s="28"/>
      <c r="BF32" s="28"/>
      <c r="BG32" s="28"/>
      <c r="BH32" s="28"/>
      <c r="BI32" s="28"/>
      <c r="BJ32" s="28"/>
      <c r="BK32" s="28"/>
      <c r="BL32" s="28"/>
      <c r="BM32" s="28"/>
      <c r="BN32" s="28"/>
      <c r="BO32" s="28"/>
      <c r="BP32" s="28"/>
      <c r="BQ32" s="28"/>
      <c r="BR32" s="28"/>
      <c r="BS32" s="36"/>
      <c r="BT32" s="26" t="s">
        <v>150</v>
      </c>
      <c r="BU32" s="42" t="s">
        <v>151</v>
      </c>
      <c r="BV32" s="28" t="e">
        <f t="shared" ca="1" si="2"/>
        <v>#NAME?</v>
      </c>
      <c r="BW32" s="28"/>
      <c r="BX32" s="26" t="str">
        <f t="shared" si="5"/>
        <v>kakaotravel_H256.png</v>
      </c>
      <c r="BY32" s="28" t="s">
        <v>927</v>
      </c>
      <c r="BZ32" s="26" t="s">
        <v>928</v>
      </c>
      <c r="CA32" s="26" t="s">
        <v>913</v>
      </c>
      <c r="CB32" s="28"/>
      <c r="CC32" s="28"/>
      <c r="CD32" s="28"/>
      <c r="CE32" s="28"/>
      <c r="CF32" s="28"/>
      <c r="CG32" s="28"/>
    </row>
    <row r="33" spans="1:85" ht="15.75" customHeight="1" x14ac:dyDescent="0.2">
      <c r="A33" s="27" t="b">
        <v>1</v>
      </c>
      <c r="B33" s="31" t="s">
        <v>929</v>
      </c>
      <c r="C33" s="69" t="s">
        <v>780</v>
      </c>
      <c r="D33" s="27" t="s">
        <v>117</v>
      </c>
      <c r="E33" s="70" t="s">
        <v>930</v>
      </c>
      <c r="F33" s="27" t="s">
        <v>931</v>
      </c>
      <c r="G33" s="27" t="str">
        <f t="shared" si="0"/>
        <v>c5cd79be-c4de-43ff-b30e-0ae4ea87f3f3_w256.webp</v>
      </c>
      <c r="H33" s="27" t="s">
        <v>833</v>
      </c>
      <c r="I33" s="70" t="s">
        <v>932</v>
      </c>
      <c r="J33" s="43" t="s">
        <v>933</v>
      </c>
      <c r="K33" s="45" t="s">
        <v>934</v>
      </c>
      <c r="L33" s="27" t="s">
        <v>935</v>
      </c>
      <c r="M33" s="93" t="s">
        <v>936</v>
      </c>
      <c r="N33" s="27" t="s">
        <v>937</v>
      </c>
      <c r="O33" s="28"/>
      <c r="P33" s="28"/>
      <c r="Q33" s="36" t="s">
        <v>938</v>
      </c>
      <c r="R33" s="78" t="s">
        <v>939</v>
      </c>
      <c r="S33" s="36" t="s">
        <v>938</v>
      </c>
      <c r="T33" s="36" t="s">
        <v>940</v>
      </c>
      <c r="U33" s="36" t="s">
        <v>940</v>
      </c>
      <c r="V33" s="36"/>
      <c r="W33" s="47">
        <f t="shared" si="18"/>
        <v>0</v>
      </c>
      <c r="X33" s="35" t="s">
        <v>941</v>
      </c>
      <c r="Y33" s="28"/>
      <c r="Z33" s="28"/>
      <c r="AA33" s="28"/>
      <c r="AB33" s="35"/>
      <c r="AC33" s="43" t="s">
        <v>942</v>
      </c>
      <c r="AD33" s="27" t="s">
        <v>943</v>
      </c>
      <c r="AE33" s="49" t="s">
        <v>944</v>
      </c>
      <c r="AF33" s="27" t="s">
        <v>945</v>
      </c>
      <c r="AG33" s="27" t="s">
        <v>946</v>
      </c>
      <c r="AH33" s="99" t="s">
        <v>947</v>
      </c>
      <c r="AI33" s="27" t="s">
        <v>948</v>
      </c>
      <c r="AJ33" s="41"/>
      <c r="AK33" s="41"/>
      <c r="AL33" s="41"/>
      <c r="AM33" s="27" t="s">
        <v>949</v>
      </c>
      <c r="AN33" s="27" t="s">
        <v>950</v>
      </c>
      <c r="AO33" s="27" t="s">
        <v>951</v>
      </c>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36"/>
      <c r="BT33" s="27" t="s">
        <v>173</v>
      </c>
      <c r="BU33" s="42" t="s">
        <v>151</v>
      </c>
      <c r="BV33" s="28" t="e">
        <f t="shared" ca="1" si="2"/>
        <v>#NAME?</v>
      </c>
      <c r="BW33" s="36" t="s">
        <v>952</v>
      </c>
      <c r="BX33" s="26" t="str">
        <f t="shared" si="5"/>
        <v>logo-agribank.jpg</v>
      </c>
      <c r="BY33" s="28" t="s">
        <v>953</v>
      </c>
      <c r="BZ33" s="27" t="s">
        <v>954</v>
      </c>
      <c r="CA33" s="27" t="s">
        <v>935</v>
      </c>
      <c r="CB33" s="28"/>
      <c r="CC33" s="28"/>
      <c r="CD33" s="28"/>
      <c r="CE33" s="28"/>
      <c r="CF33" s="28"/>
      <c r="CG33" s="28"/>
    </row>
    <row r="34" spans="1:85" ht="15.75" customHeight="1" x14ac:dyDescent="0.2">
      <c r="A34" s="27" t="b">
        <v>1</v>
      </c>
      <c r="B34" s="31" t="s">
        <v>955</v>
      </c>
      <c r="C34" s="74" t="s">
        <v>408</v>
      </c>
      <c r="D34" s="27" t="s">
        <v>117</v>
      </c>
      <c r="E34" s="33" t="s">
        <v>956</v>
      </c>
      <c r="F34" s="27" t="s">
        <v>957</v>
      </c>
      <c r="G34" s="27" t="str">
        <f t="shared" si="0"/>
        <v>7c8d043e-76ec-4199-9cc9-636591e86af7-removebg-preview_w256.webp</v>
      </c>
      <c r="H34" s="27" t="s">
        <v>833</v>
      </c>
      <c r="I34" s="33" t="s">
        <v>958</v>
      </c>
      <c r="J34" s="52" t="s">
        <v>959</v>
      </c>
      <c r="K34" s="34" t="s">
        <v>960</v>
      </c>
      <c r="L34" s="26" t="s">
        <v>961</v>
      </c>
      <c r="M34" s="40" t="s">
        <v>962</v>
      </c>
      <c r="N34" s="54" t="e">
        <f t="shared" ref="N34:N36" ca="1" si="19">p_GMapLink(M34)</f>
        <v>#NAME?</v>
      </c>
      <c r="O34" s="28"/>
      <c r="P34" s="28"/>
      <c r="Q34" s="36" t="s">
        <v>963</v>
      </c>
      <c r="R34" s="36" t="s">
        <v>964</v>
      </c>
      <c r="S34" s="36" t="s">
        <v>963</v>
      </c>
      <c r="T34" s="36" t="s">
        <v>965</v>
      </c>
      <c r="U34" s="36" t="s">
        <v>965</v>
      </c>
      <c r="V34" s="36"/>
      <c r="W34" s="37" t="str">
        <f t="shared" si="18"/>
        <v>https:/fb.com/share/1BqRo9zjyR</v>
      </c>
      <c r="X34" s="35"/>
      <c r="Y34" s="38" t="s">
        <v>966</v>
      </c>
      <c r="Z34" s="28"/>
      <c r="AA34" s="100"/>
      <c r="AB34" s="35"/>
      <c r="AC34" s="83" t="s">
        <v>967</v>
      </c>
      <c r="AD34" s="53" t="s">
        <v>968</v>
      </c>
      <c r="AE34" s="18"/>
      <c r="AF34" s="41"/>
      <c r="AG34" s="41"/>
      <c r="AH34" s="41"/>
      <c r="AI34" s="41"/>
      <c r="AJ34" s="41"/>
      <c r="AK34" s="41"/>
      <c r="AL34" s="41"/>
      <c r="AM34" s="27"/>
      <c r="AN34" s="27"/>
      <c r="AO34" s="27"/>
      <c r="AP34" s="27"/>
      <c r="AQ34" s="27"/>
      <c r="AR34" s="27"/>
      <c r="AS34" s="27"/>
      <c r="AT34" s="27"/>
      <c r="AU34" s="27"/>
      <c r="AV34" s="27"/>
      <c r="AW34" s="27"/>
      <c r="AX34" s="27"/>
      <c r="AY34" s="28"/>
      <c r="AZ34" s="28"/>
      <c r="BA34" s="28"/>
      <c r="BB34" s="28"/>
      <c r="BC34" s="28"/>
      <c r="BD34" s="28"/>
      <c r="BE34" s="28"/>
      <c r="BF34" s="28"/>
      <c r="BG34" s="28"/>
      <c r="BH34" s="28"/>
      <c r="BI34" s="28"/>
      <c r="BJ34" s="28"/>
      <c r="BK34" s="28"/>
      <c r="BL34" s="28"/>
      <c r="BM34" s="28"/>
      <c r="BN34" s="28"/>
      <c r="BO34" s="28"/>
      <c r="BP34" s="28"/>
      <c r="BQ34" s="28"/>
      <c r="BR34" s="28"/>
      <c r="BS34" s="36"/>
      <c r="BT34" s="27" t="s">
        <v>173</v>
      </c>
      <c r="BU34" s="42" t="s">
        <v>151</v>
      </c>
      <c r="BV34" s="28" t="e">
        <f t="shared" ca="1" si="2"/>
        <v>#NAME?</v>
      </c>
      <c r="BW34" s="28"/>
      <c r="BX34" s="26" t="str">
        <f t="shared" si="5"/>
        <v>Screenshot 2026-03-17 133117.png</v>
      </c>
      <c r="BY34" s="28" t="s">
        <v>969</v>
      </c>
      <c r="BZ34" s="26" t="s">
        <v>970</v>
      </c>
      <c r="CA34" s="26" t="s">
        <v>961</v>
      </c>
      <c r="CB34" s="28"/>
      <c r="CC34" s="28"/>
      <c r="CD34" s="28"/>
      <c r="CE34" s="28"/>
      <c r="CF34" s="28"/>
      <c r="CG34" s="28"/>
    </row>
    <row r="35" spans="1:85" ht="15.75" customHeight="1" x14ac:dyDescent="0.2">
      <c r="A35" s="27" t="b">
        <v>1</v>
      </c>
      <c r="B35" s="31" t="s">
        <v>971</v>
      </c>
      <c r="C35" s="101" t="s">
        <v>486</v>
      </c>
      <c r="D35" s="27" t="s">
        <v>117</v>
      </c>
      <c r="E35" s="43" t="s">
        <v>972</v>
      </c>
      <c r="F35" s="27" t="s">
        <v>973</v>
      </c>
      <c r="G35" s="27" t="str">
        <f t="shared" si="0"/>
        <v>HOÀNG_ĐỨC_THẮNGs-removebg-preview_w256.webp</v>
      </c>
      <c r="H35" s="27" t="s">
        <v>974</v>
      </c>
      <c r="I35" s="43" t="s">
        <v>975</v>
      </c>
      <c r="J35" s="55" t="s">
        <v>976</v>
      </c>
      <c r="K35" s="45" t="s">
        <v>977</v>
      </c>
      <c r="L35" s="38" t="s">
        <v>978</v>
      </c>
      <c r="M35" s="53" t="s">
        <v>979</v>
      </c>
      <c r="N35" s="54" t="e">
        <f t="shared" ca="1" si="19"/>
        <v>#NAME?</v>
      </c>
      <c r="O35" s="26" t="s">
        <v>980</v>
      </c>
      <c r="P35" s="54" t="e">
        <f ca="1">p_GMapLink(O35)</f>
        <v>#NAME?</v>
      </c>
      <c r="Q35" s="36" t="s">
        <v>981</v>
      </c>
      <c r="R35" s="36" t="s">
        <v>982</v>
      </c>
      <c r="S35" s="36" t="s">
        <v>981</v>
      </c>
      <c r="T35" s="36" t="s">
        <v>983</v>
      </c>
      <c r="U35" s="36" t="s">
        <v>983</v>
      </c>
      <c r="V35" s="36"/>
      <c r="W35" s="37" t="str">
        <f t="shared" si="18"/>
        <v>https://fb.com/thuanthang.ltd</v>
      </c>
      <c r="X35" s="38" t="s">
        <v>984</v>
      </c>
      <c r="Y35" s="102" t="s">
        <v>985</v>
      </c>
      <c r="Z35" s="28"/>
      <c r="AA35" s="28"/>
      <c r="AB35" s="35"/>
      <c r="AC35" s="58" t="s">
        <v>986</v>
      </c>
      <c r="AD35" s="77" t="s">
        <v>987</v>
      </c>
      <c r="AE35" s="19" t="s">
        <v>988</v>
      </c>
      <c r="AF35" s="53" t="s">
        <v>989</v>
      </c>
      <c r="AG35" s="53" t="s">
        <v>990</v>
      </c>
      <c r="AH35" s="41"/>
      <c r="AI35" s="41"/>
      <c r="AJ35" s="41"/>
      <c r="AK35" s="41"/>
      <c r="AL35" s="41"/>
      <c r="AM35" s="19" t="s">
        <v>991</v>
      </c>
      <c r="AN35" s="27"/>
      <c r="AO35" s="38" t="s">
        <v>992</v>
      </c>
      <c r="AP35" s="27"/>
      <c r="AQ35" s="27"/>
      <c r="AR35" s="27"/>
      <c r="AS35" s="27"/>
      <c r="AT35" s="27"/>
      <c r="AU35" s="27"/>
      <c r="AV35" s="27"/>
      <c r="AW35" s="27"/>
      <c r="AX35" s="27"/>
      <c r="AY35" s="28"/>
      <c r="AZ35" s="28"/>
      <c r="BA35" s="28"/>
      <c r="BB35" s="28"/>
      <c r="BC35" s="28"/>
      <c r="BD35" s="28"/>
      <c r="BE35" s="28"/>
      <c r="BF35" s="28"/>
      <c r="BG35" s="28"/>
      <c r="BH35" s="28"/>
      <c r="BI35" s="28"/>
      <c r="BJ35" s="28"/>
      <c r="BK35" s="28"/>
      <c r="BL35" s="28"/>
      <c r="BM35" s="28"/>
      <c r="BN35" s="28"/>
      <c r="BO35" s="28"/>
      <c r="BP35" s="28"/>
      <c r="BQ35" s="28"/>
      <c r="BR35" s="28"/>
      <c r="BS35" s="36"/>
      <c r="BT35" s="27" t="s">
        <v>173</v>
      </c>
      <c r="BU35" s="42" t="s">
        <v>151</v>
      </c>
      <c r="BV35" s="28" t="e">
        <f t="shared" ca="1" si="2"/>
        <v>#NAME?</v>
      </c>
      <c r="BW35" s="28"/>
      <c r="BX35" s="57" t="str">
        <f t="shared" si="5"/>
        <v>1_58.jpg</v>
      </c>
      <c r="BY35" s="28" t="s">
        <v>993</v>
      </c>
      <c r="BZ35" s="26" t="s">
        <v>994</v>
      </c>
      <c r="CA35" s="38" t="s">
        <v>978</v>
      </c>
      <c r="CB35" s="28"/>
      <c r="CC35" s="28"/>
      <c r="CD35" s="28"/>
      <c r="CE35" s="28"/>
      <c r="CF35" s="28"/>
      <c r="CG35" s="28"/>
    </row>
    <row r="36" spans="1:85" ht="15.75" customHeight="1" x14ac:dyDescent="0.2">
      <c r="A36" s="27" t="b">
        <v>1</v>
      </c>
      <c r="B36" s="31" t="s">
        <v>995</v>
      </c>
      <c r="C36" s="50" t="s">
        <v>512</v>
      </c>
      <c r="D36" s="27" t="s">
        <v>117</v>
      </c>
      <c r="E36" s="51" t="s">
        <v>996</v>
      </c>
      <c r="F36" s="27" t="s">
        <v>997</v>
      </c>
      <c r="G36" s="27" t="str">
        <f t="shared" si="0"/>
        <v>2981384167114850370_w256.webp</v>
      </c>
      <c r="H36" s="27" t="e">
        <f>IF(ISERROR(VLOOKUP(E36,#REF!, 6, FALSE)), VLOOKUP(Q36,#REF!, 22, FALSE), VLOOKUP(E36,#REF!, 6, FALSE))</f>
        <v>#REF!</v>
      </c>
      <c r="I36" s="103" t="s">
        <v>998</v>
      </c>
      <c r="J36" s="52" t="s">
        <v>999</v>
      </c>
      <c r="K36" s="34" t="s">
        <v>1000</v>
      </c>
      <c r="L36" s="26" t="s">
        <v>1001</v>
      </c>
      <c r="M36" s="53" t="s">
        <v>1002</v>
      </c>
      <c r="N36" s="54" t="e">
        <f t="shared" ca="1" si="19"/>
        <v>#NAME?</v>
      </c>
      <c r="O36" s="28"/>
      <c r="P36" s="28"/>
      <c r="Q36" s="104" t="s">
        <v>1003</v>
      </c>
      <c r="R36" s="78" t="s">
        <v>1004</v>
      </c>
      <c r="S36" s="36" t="str">
        <f t="shared" ref="S36:S37" si="20">Q36</f>
        <v>0907028777</v>
      </c>
      <c r="T36" s="36" t="str">
        <f t="shared" ref="T36:T37" si="21">"84"&amp;IF(LEN(Q36)=10, RIGHT(Q36,9), Q36)</f>
        <v>84907028777</v>
      </c>
      <c r="U36" s="36" t="str">
        <f t="shared" ref="U36:U37" si="22">"84"&amp;IF(LEN(Q36)=10, RIGHT(Q36,9), Q36)</f>
        <v>84907028777</v>
      </c>
      <c r="V36" s="36"/>
      <c r="W36" s="47" t="e">
        <f t="shared" si="18"/>
        <v>#REF!</v>
      </c>
      <c r="X36" s="38" t="s">
        <v>1005</v>
      </c>
      <c r="Y36" s="28" t="e">
        <f>VLOOKUP(E36,#REF!, 10, FALSE)</f>
        <v>#REF!</v>
      </c>
      <c r="Z36" s="28" t="e">
        <f>VLOOKUP(E36,#REF!, 11, FALSE)</f>
        <v>#REF!</v>
      </c>
      <c r="AA36" s="28"/>
      <c r="AB36" s="35" t="e">
        <f>VLOOKUP(E36,#REF!, 12, FALSE)</f>
        <v>#REF!</v>
      </c>
      <c r="AC36" s="40" t="s">
        <v>1006</v>
      </c>
      <c r="AD36" s="19" t="s">
        <v>1007</v>
      </c>
      <c r="AE36" s="19" t="s">
        <v>1008</v>
      </c>
      <c r="AF36" s="19" t="s">
        <v>1009</v>
      </c>
      <c r="AG36" s="19" t="s">
        <v>1010</v>
      </c>
      <c r="AH36" s="19" t="s">
        <v>1011</v>
      </c>
      <c r="AI36" s="19" t="s">
        <v>1012</v>
      </c>
      <c r="AJ36" s="19" t="s">
        <v>1013</v>
      </c>
      <c r="AK36" s="41"/>
      <c r="AL36" s="41"/>
      <c r="AM36" s="19" t="s">
        <v>1014</v>
      </c>
      <c r="AN36" s="27"/>
      <c r="AO36" s="27"/>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7" t="s">
        <v>173</v>
      </c>
      <c r="BU36" s="42" t="s">
        <v>151</v>
      </c>
      <c r="BV36" s="28" t="e">
        <f t="shared" ca="1" si="2"/>
        <v>#NAME?</v>
      </c>
      <c r="BW36" s="28"/>
      <c r="BX36" s="26" t="str">
        <f t="shared" si="5"/>
        <v>logo_VCB_828891.jpg</v>
      </c>
      <c r="BY36" s="28" t="s">
        <v>1015</v>
      </c>
      <c r="BZ36" s="26" t="s">
        <v>1016</v>
      </c>
      <c r="CA36" s="26" t="s">
        <v>1001</v>
      </c>
      <c r="CB36" s="28"/>
      <c r="CC36" s="28"/>
      <c r="CD36" s="28"/>
      <c r="CE36" s="28"/>
      <c r="CF36" s="28"/>
      <c r="CG36" s="28"/>
    </row>
    <row r="37" spans="1:85" ht="15.75" customHeight="1" x14ac:dyDescent="0.2">
      <c r="A37" s="30" t="b">
        <v>1</v>
      </c>
      <c r="B37" s="31" t="s">
        <v>433</v>
      </c>
      <c r="C37" s="69" t="s">
        <v>1017</v>
      </c>
      <c r="D37" s="27" t="s">
        <v>409</v>
      </c>
      <c r="E37" s="70" t="s">
        <v>1018</v>
      </c>
      <c r="F37" s="27" t="s">
        <v>1019</v>
      </c>
      <c r="G37" s="27" t="str">
        <f t="shared" si="0"/>
        <v>9c14ca71-f0ea-405d-bd33-ebe4f9b77cb92_w256.webp</v>
      </c>
      <c r="H37" s="26" t="s">
        <v>1020</v>
      </c>
      <c r="I37" s="55" t="s">
        <v>1021</v>
      </c>
      <c r="J37" s="55" t="s">
        <v>1022</v>
      </c>
      <c r="K37" s="45"/>
      <c r="L37" s="26" t="s">
        <v>1023</v>
      </c>
      <c r="M37" s="105" t="s">
        <v>1024</v>
      </c>
      <c r="N37" s="106" t="s">
        <v>1025</v>
      </c>
      <c r="O37" s="28"/>
      <c r="P37" s="28"/>
      <c r="Q37" s="84" t="s">
        <v>1026</v>
      </c>
      <c r="R37" s="78" t="s">
        <v>1027</v>
      </c>
      <c r="S37" s="36" t="str">
        <f t="shared" si="20"/>
        <v>0852744515</v>
      </c>
      <c r="T37" s="36" t="str">
        <f t="shared" si="21"/>
        <v>84852744515</v>
      </c>
      <c r="U37" s="36" t="str">
        <f t="shared" si="22"/>
        <v>84852744515</v>
      </c>
      <c r="V37" s="36"/>
      <c r="W37" s="37" t="str">
        <f t="shared" si="18"/>
        <v>https://fb.com/LinhSan335555</v>
      </c>
      <c r="X37" s="35" t="e">
        <f>IF(ISERROR(VLOOKUP(E37,#REF!, 9, FALSE)), VLOOKUP(Q37,#REF!, 16, FALSE), VLOOKUP(E37,#REF!, 9, FALSE))</f>
        <v>#REF!</v>
      </c>
      <c r="Y37" s="38" t="s">
        <v>1028</v>
      </c>
      <c r="Z37" s="28"/>
      <c r="AA37" s="97" t="s">
        <v>132</v>
      </c>
      <c r="AB37" s="35"/>
      <c r="AC37" s="55" t="s">
        <v>1029</v>
      </c>
      <c r="AD37" s="19" t="s">
        <v>1030</v>
      </c>
      <c r="AE37" s="19" t="s">
        <v>1031</v>
      </c>
      <c r="AF37" s="26" t="s">
        <v>1032</v>
      </c>
      <c r="AG37" s="26" t="s">
        <v>1033</v>
      </c>
      <c r="AH37" s="19" t="s">
        <v>1034</v>
      </c>
      <c r="AI37" s="28"/>
      <c r="AJ37" s="41"/>
      <c r="AK37" s="41"/>
      <c r="AL37" s="41"/>
      <c r="AM37" s="28" t="s">
        <v>1035</v>
      </c>
      <c r="AN37" s="38" t="s">
        <v>1036</v>
      </c>
      <c r="AO37" s="1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6" t="s">
        <v>150</v>
      </c>
      <c r="BU37" s="42" t="s">
        <v>151</v>
      </c>
      <c r="BV37" s="28" t="e">
        <f t="shared" ca="1" si="2"/>
        <v>#NAME?</v>
      </c>
      <c r="BW37" s="28"/>
      <c r="BX37" s="26" t="str">
        <f t="shared" si="5"/>
        <v>LinhSanLogo.png</v>
      </c>
      <c r="BY37" s="28" t="s">
        <v>1037</v>
      </c>
      <c r="BZ37" s="26" t="s">
        <v>1038</v>
      </c>
      <c r="CA37" s="26" t="s">
        <v>1023</v>
      </c>
      <c r="CB37" s="28"/>
      <c r="CC37" s="28"/>
      <c r="CD37" s="28"/>
      <c r="CE37" s="28"/>
      <c r="CF37" s="28"/>
      <c r="CG37" s="28"/>
    </row>
    <row r="38" spans="1:85" ht="15.75" customHeight="1" x14ac:dyDescent="0.2">
      <c r="A38" s="27" t="b">
        <v>1</v>
      </c>
      <c r="B38" s="31" t="s">
        <v>1039</v>
      </c>
      <c r="C38" s="50" t="s">
        <v>537</v>
      </c>
      <c r="D38" s="27" t="s">
        <v>117</v>
      </c>
      <c r="E38" s="51" t="s">
        <v>1040</v>
      </c>
      <c r="F38" s="27" t="s">
        <v>1041</v>
      </c>
      <c r="G38" s="27" t="str">
        <f t="shared" si="0"/>
        <v>A016_NGUYỄN_ĐỨC_SƠN-removebg-preview_w256.webp</v>
      </c>
      <c r="H38" s="27" t="s">
        <v>1042</v>
      </c>
      <c r="I38" s="51" t="s">
        <v>1043</v>
      </c>
      <c r="J38" s="52" t="s">
        <v>1044</v>
      </c>
      <c r="K38" s="34" t="s">
        <v>1045</v>
      </c>
      <c r="L38" s="26" t="s">
        <v>1046</v>
      </c>
      <c r="M38" s="53" t="s">
        <v>1047</v>
      </c>
      <c r="N38" s="54" t="e">
        <f t="shared" ref="N38:N42" ca="1" si="23">p_GMapLink(M38)</f>
        <v>#NAME?</v>
      </c>
      <c r="O38" s="28"/>
      <c r="P38" s="28"/>
      <c r="Q38" s="36" t="s">
        <v>1048</v>
      </c>
      <c r="R38" s="78" t="s">
        <v>1049</v>
      </c>
      <c r="S38" s="36" t="s">
        <v>1048</v>
      </c>
      <c r="T38" s="36" t="s">
        <v>1050</v>
      </c>
      <c r="U38" s="36" t="s">
        <v>1050</v>
      </c>
      <c r="V38" s="36"/>
      <c r="W38" s="37" t="str">
        <f t="shared" si="18"/>
        <v>https://fb.com/www.phuocmy.com.vn</v>
      </c>
      <c r="X38" s="38" t="s">
        <v>1051</v>
      </c>
      <c r="Y38" s="38" t="s">
        <v>1052</v>
      </c>
      <c r="Z38" s="28"/>
      <c r="AA38" s="28"/>
      <c r="AB38" s="35"/>
      <c r="AC38" s="40" t="s">
        <v>1053</v>
      </c>
      <c r="AD38" s="19" t="s">
        <v>1054</v>
      </c>
      <c r="AE38" s="19" t="s">
        <v>1055</v>
      </c>
      <c r="AF38" s="19" t="s">
        <v>1056</v>
      </c>
      <c r="AG38" s="19" t="s">
        <v>1057</v>
      </c>
      <c r="AH38" s="19" t="s">
        <v>1058</v>
      </c>
      <c r="AI38" s="19" t="s">
        <v>1059</v>
      </c>
      <c r="AJ38" s="19" t="s">
        <v>1060</v>
      </c>
      <c r="AK38" s="41"/>
      <c r="AL38" s="41"/>
      <c r="AM38" s="19" t="s">
        <v>1061</v>
      </c>
      <c r="AN38" s="27"/>
      <c r="AO38" s="26" t="s">
        <v>1062</v>
      </c>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36"/>
      <c r="BT38" s="27" t="s">
        <v>173</v>
      </c>
      <c r="BU38" s="42" t="s">
        <v>151</v>
      </c>
      <c r="BV38" s="28" t="e">
        <f t="shared" ca="1" si="2"/>
        <v>#NAME?</v>
      </c>
      <c r="BW38" s="26" t="s">
        <v>1063</v>
      </c>
      <c r="BX38" s="26" t="str">
        <f t="shared" si="5"/>
        <v>Banner2.png</v>
      </c>
      <c r="BY38" s="28" t="s">
        <v>1064</v>
      </c>
      <c r="BZ38" s="26" t="s">
        <v>1065</v>
      </c>
      <c r="CA38" s="26" t="s">
        <v>1046</v>
      </c>
      <c r="CB38" s="28"/>
      <c r="CC38" s="28"/>
      <c r="CD38" s="28"/>
      <c r="CE38" s="28"/>
      <c r="CF38" s="28"/>
      <c r="CG38" s="28"/>
    </row>
    <row r="39" spans="1:85" ht="15.75" customHeight="1" x14ac:dyDescent="0.2">
      <c r="A39" s="27" t="b">
        <v>1</v>
      </c>
      <c r="B39" s="31" t="s">
        <v>1066</v>
      </c>
      <c r="C39" s="69" t="s">
        <v>564</v>
      </c>
      <c r="D39" s="27" t="s">
        <v>117</v>
      </c>
      <c r="E39" s="70" t="s">
        <v>1067</v>
      </c>
      <c r="F39" s="27" t="s">
        <v>1068</v>
      </c>
      <c r="G39" s="27" t="str">
        <f t="shared" si="0"/>
        <v>229fad04-5a3b-4833-9767-0bb4ff58ec7f_w256.webp</v>
      </c>
      <c r="H39" s="27" t="s">
        <v>1042</v>
      </c>
      <c r="I39" s="70" t="s">
        <v>1069</v>
      </c>
      <c r="J39" s="55" t="s">
        <v>1070</v>
      </c>
      <c r="K39" s="45" t="s">
        <v>1071</v>
      </c>
      <c r="L39" s="26" t="s">
        <v>1072</v>
      </c>
      <c r="M39" s="53" t="s">
        <v>1073</v>
      </c>
      <c r="N39" s="54" t="e">
        <f t="shared" ca="1" si="23"/>
        <v>#NAME?</v>
      </c>
      <c r="O39" s="28"/>
      <c r="P39" s="28"/>
      <c r="Q39" s="36" t="s">
        <v>1074</v>
      </c>
      <c r="R39" s="36" t="s">
        <v>1075</v>
      </c>
      <c r="S39" s="36" t="s">
        <v>1074</v>
      </c>
      <c r="T39" s="36" t="s">
        <v>1076</v>
      </c>
      <c r="U39" s="36" t="s">
        <v>1076</v>
      </c>
      <c r="V39" s="36"/>
      <c r="W39" s="47"/>
      <c r="X39" s="35" t="s">
        <v>1077</v>
      </c>
      <c r="Y39" s="28"/>
      <c r="Z39" s="28"/>
      <c r="AA39" s="28"/>
      <c r="AB39" s="35"/>
      <c r="AC39" s="71" t="s">
        <v>1078</v>
      </c>
      <c r="AD39" s="19" t="s">
        <v>1079</v>
      </c>
      <c r="AE39" s="19" t="s">
        <v>342</v>
      </c>
      <c r="AF39" s="19" t="s">
        <v>1080</v>
      </c>
      <c r="AG39" s="19" t="s">
        <v>1081</v>
      </c>
      <c r="AH39" s="19" t="s">
        <v>1082</v>
      </c>
      <c r="AI39" s="19" t="s">
        <v>1083</v>
      </c>
      <c r="AJ39" s="19" t="s">
        <v>1084</v>
      </c>
      <c r="AK39" s="41"/>
      <c r="AL39" s="41"/>
      <c r="AM39" s="19" t="s">
        <v>1085</v>
      </c>
      <c r="AN39" s="27"/>
      <c r="AO39" s="26" t="s">
        <v>1086</v>
      </c>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36"/>
      <c r="BT39" s="27" t="s">
        <v>173</v>
      </c>
      <c r="BU39" s="42" t="s">
        <v>151</v>
      </c>
      <c r="BV39" s="28" t="e">
        <f t="shared" ca="1" si="2"/>
        <v>#NAME?</v>
      </c>
      <c r="BW39" s="28"/>
      <c r="BX39" s="26" t="str">
        <f t="shared" si="5"/>
        <v>LOGO-WESTLANDs.png</v>
      </c>
      <c r="BY39" s="28" t="s">
        <v>1087</v>
      </c>
      <c r="BZ39" s="26" t="s">
        <v>1088</v>
      </c>
      <c r="CA39" s="26" t="s">
        <v>1072</v>
      </c>
      <c r="CB39" s="28"/>
      <c r="CC39" s="28"/>
      <c r="CD39" s="28"/>
      <c r="CE39" s="28"/>
      <c r="CF39" s="28"/>
      <c r="CG39" s="28"/>
    </row>
    <row r="40" spans="1:85" ht="15.75" customHeight="1" x14ac:dyDescent="0.2">
      <c r="A40" s="30" t="b">
        <v>1</v>
      </c>
      <c r="B40" s="31" t="s">
        <v>487</v>
      </c>
      <c r="C40" s="50" t="s">
        <v>669</v>
      </c>
      <c r="D40" s="27" t="s">
        <v>117</v>
      </c>
      <c r="E40" s="51" t="s">
        <v>1089</v>
      </c>
      <c r="F40" s="27" t="s">
        <v>1090</v>
      </c>
      <c r="G40" s="27" t="str">
        <f t="shared" si="0"/>
        <v>NGUYỄN ANH HIỆP_w256.webp</v>
      </c>
      <c r="H40" s="27" t="s">
        <v>833</v>
      </c>
      <c r="I40" s="33" t="s">
        <v>1091</v>
      </c>
      <c r="J40" s="33" t="s">
        <v>1092</v>
      </c>
      <c r="K40" s="34" t="s">
        <v>1093</v>
      </c>
      <c r="L40" s="27" t="s">
        <v>1094</v>
      </c>
      <c r="M40" s="46" t="s">
        <v>1095</v>
      </c>
      <c r="N40" s="54" t="e">
        <f t="shared" ca="1" si="23"/>
        <v>#NAME?</v>
      </c>
      <c r="O40" s="28"/>
      <c r="P40" s="28"/>
      <c r="Q40" s="36" t="s">
        <v>1096</v>
      </c>
      <c r="R40" s="36" t="s">
        <v>1097</v>
      </c>
      <c r="S40" s="36" t="s">
        <v>1096</v>
      </c>
      <c r="T40" s="36" t="s">
        <v>1098</v>
      </c>
      <c r="U40" s="36" t="s">
        <v>1098</v>
      </c>
      <c r="V40" s="36"/>
      <c r="W40" s="47">
        <f>Y40</f>
        <v>0</v>
      </c>
      <c r="X40" s="35" t="s">
        <v>1099</v>
      </c>
      <c r="Y40" s="28"/>
      <c r="Z40" s="28"/>
      <c r="AA40" s="35" t="s">
        <v>132</v>
      </c>
      <c r="AB40" s="35"/>
      <c r="AC40" s="33" t="s">
        <v>1100</v>
      </c>
      <c r="AD40" s="27" t="s">
        <v>1101</v>
      </c>
      <c r="AE40" s="27" t="s">
        <v>1102</v>
      </c>
      <c r="AF40" s="49" t="s">
        <v>1103</v>
      </c>
      <c r="AG40" s="27" t="s">
        <v>1104</v>
      </c>
      <c r="AH40" s="27" t="s">
        <v>1105</v>
      </c>
      <c r="AI40" s="27" t="s">
        <v>1106</v>
      </c>
      <c r="AJ40" s="46" t="s">
        <v>1107</v>
      </c>
      <c r="AK40" s="41"/>
      <c r="AL40" s="41"/>
      <c r="AM40" s="28"/>
      <c r="AN40" s="27"/>
      <c r="AO40" s="27"/>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36"/>
      <c r="BT40" s="26" t="s">
        <v>150</v>
      </c>
      <c r="BU40" s="42" t="s">
        <v>151</v>
      </c>
      <c r="BV40" s="28" t="e">
        <f t="shared" ca="1" si="2"/>
        <v>#NAME?</v>
      </c>
      <c r="BW40" s="28"/>
      <c r="BX40" s="26" t="str">
        <f t="shared" si="5"/>
        <v>1_7.jpg</v>
      </c>
      <c r="BY40" s="28" t="s">
        <v>1108</v>
      </c>
      <c r="BZ40" s="27" t="s">
        <v>1109</v>
      </c>
      <c r="CA40" s="27" t="s">
        <v>1094</v>
      </c>
      <c r="CB40" s="28"/>
      <c r="CC40" s="28"/>
      <c r="CD40" s="28"/>
      <c r="CE40" s="28"/>
      <c r="CF40" s="28"/>
      <c r="CG40" s="28"/>
    </row>
    <row r="41" spans="1:85" ht="15.75" customHeight="1" x14ac:dyDescent="0.2">
      <c r="A41" s="30" t="b">
        <v>1</v>
      </c>
      <c r="B41" s="31" t="s">
        <v>1110</v>
      </c>
      <c r="C41" s="69" t="s">
        <v>729</v>
      </c>
      <c r="D41" s="27" t="s">
        <v>117</v>
      </c>
      <c r="E41" s="70" t="s">
        <v>1111</v>
      </c>
      <c r="F41" s="27" t="s">
        <v>1112</v>
      </c>
      <c r="G41" s="27" t="str">
        <f t="shared" si="0"/>
        <v>61wsns_w256.webp</v>
      </c>
      <c r="H41" s="26" t="s">
        <v>1113</v>
      </c>
      <c r="I41" s="55" t="s">
        <v>1114</v>
      </c>
      <c r="J41" s="55" t="s">
        <v>1115</v>
      </c>
      <c r="K41" s="45" t="s">
        <v>1116</v>
      </c>
      <c r="L41" s="26" t="s">
        <v>1117</v>
      </c>
      <c r="M41" s="46" t="s">
        <v>1118</v>
      </c>
      <c r="N41" s="54" t="e">
        <f t="shared" ca="1" si="23"/>
        <v>#NAME?</v>
      </c>
      <c r="O41" s="28"/>
      <c r="P41" s="28"/>
      <c r="Q41" s="36" t="s">
        <v>1119</v>
      </c>
      <c r="R41" s="78" t="s">
        <v>1120</v>
      </c>
      <c r="S41" s="36" t="s">
        <v>1119</v>
      </c>
      <c r="T41" s="36" t="s">
        <v>1121</v>
      </c>
      <c r="U41" s="36" t="s">
        <v>1121</v>
      </c>
      <c r="V41" s="36"/>
      <c r="W41" s="18"/>
      <c r="X41" s="79" t="s">
        <v>1122</v>
      </c>
      <c r="Y41" s="28"/>
      <c r="Z41" s="28"/>
      <c r="AA41" s="35" t="s">
        <v>132</v>
      </c>
      <c r="AB41" s="35"/>
      <c r="AC41" s="71" t="s">
        <v>1123</v>
      </c>
      <c r="AD41" s="19" t="s">
        <v>1124</v>
      </c>
      <c r="AE41" s="19" t="s">
        <v>1125</v>
      </c>
      <c r="AF41" s="19" t="s">
        <v>1126</v>
      </c>
      <c r="AG41" s="19" t="s">
        <v>1127</v>
      </c>
      <c r="AH41" s="19" t="s">
        <v>1128</v>
      </c>
      <c r="AI41" s="19" t="s">
        <v>1129</v>
      </c>
      <c r="AJ41" s="19" t="s">
        <v>1130</v>
      </c>
      <c r="AK41" s="41"/>
      <c r="AL41" s="41"/>
      <c r="AM41" s="19" t="s">
        <v>1131</v>
      </c>
      <c r="AN41" s="27"/>
      <c r="AO41" s="26" t="s">
        <v>1132</v>
      </c>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36"/>
      <c r="BT41" s="26" t="s">
        <v>150</v>
      </c>
      <c r="BU41" s="42" t="s">
        <v>151</v>
      </c>
      <c r="BV41" s="28" t="e">
        <f t="shared" ca="1" si="2"/>
        <v>#NAME?</v>
      </c>
      <c r="BW41" s="28"/>
      <c r="BX41" s="26" t="str">
        <f t="shared" si="5"/>
        <v>ff3afa64-08be-4e4c-8d6a-c73c4a3f4081.jpg</v>
      </c>
      <c r="BY41" s="28" t="s">
        <v>1133</v>
      </c>
      <c r="BZ41" s="26" t="s">
        <v>1134</v>
      </c>
      <c r="CA41" s="26" t="s">
        <v>1117</v>
      </c>
      <c r="CB41" s="28"/>
      <c r="CC41" s="28"/>
      <c r="CD41" s="28"/>
      <c r="CE41" s="28"/>
      <c r="CF41" s="28"/>
      <c r="CG41" s="28"/>
    </row>
    <row r="42" spans="1:85" ht="15.75" customHeight="1" x14ac:dyDescent="0.2">
      <c r="A42" s="27" t="b">
        <v>1</v>
      </c>
      <c r="B42" s="31" t="s">
        <v>1135</v>
      </c>
      <c r="C42" s="50" t="s">
        <v>754</v>
      </c>
      <c r="D42" s="27" t="s">
        <v>409</v>
      </c>
      <c r="E42" s="51" t="s">
        <v>1136</v>
      </c>
      <c r="F42" s="27" t="s">
        <v>1137</v>
      </c>
      <c r="G42" s="27" t="str">
        <f t="shared" si="0"/>
        <v>AMou7_w256.webp</v>
      </c>
      <c r="H42" s="27" t="e">
        <f>IF(ISERROR(VLOOKUP(E42,#REF!, 6, FALSE)), VLOOKUP(Q42,#REF!, 22, FALSE), VLOOKUP(E42,#REF!, 6, FALSE))</f>
        <v>#REF!</v>
      </c>
      <c r="I42" s="52" t="s">
        <v>1138</v>
      </c>
      <c r="J42" s="52" t="s">
        <v>1139</v>
      </c>
      <c r="K42" s="34"/>
      <c r="L42" s="26" t="s">
        <v>1140</v>
      </c>
      <c r="M42" s="53" t="s">
        <v>1141</v>
      </c>
      <c r="N42" s="54" t="e">
        <f t="shared" ca="1" si="23"/>
        <v>#NAME?</v>
      </c>
      <c r="O42" s="26" t="s">
        <v>1142</v>
      </c>
      <c r="P42" s="54" t="e">
        <f ca="1">p_GMapLink(O42)</f>
        <v>#NAME?</v>
      </c>
      <c r="Q42" s="78" t="s">
        <v>1143</v>
      </c>
      <c r="R42" s="78" t="s">
        <v>1144</v>
      </c>
      <c r="S42" s="36" t="str">
        <f>Q42</f>
        <v>0989030393</v>
      </c>
      <c r="T42" s="36" t="str">
        <f>"84"&amp;IF(LEN(Q42)=10, RIGHT(Q42,9), Q42)</f>
        <v>84989030393</v>
      </c>
      <c r="U42" s="36" t="str">
        <f>"84"&amp;IF(LEN(Q42)=10, RIGHT(Q42,9), Q42)</f>
        <v>84989030393</v>
      </c>
      <c r="V42" s="36"/>
      <c r="W42" s="47"/>
      <c r="X42" s="107" t="s">
        <v>1145</v>
      </c>
      <c r="Y42" s="28"/>
      <c r="Z42" s="28"/>
      <c r="AA42" s="97" t="s">
        <v>132</v>
      </c>
      <c r="AB42" s="35"/>
      <c r="AC42" s="40" t="s">
        <v>1146</v>
      </c>
      <c r="AD42" s="19" t="s">
        <v>1147</v>
      </c>
      <c r="AE42" s="19" t="s">
        <v>1148</v>
      </c>
      <c r="AF42" s="19" t="s">
        <v>1149</v>
      </c>
      <c r="AG42" s="19" t="s">
        <v>1150</v>
      </c>
      <c r="AH42" s="19" t="s">
        <v>1151</v>
      </c>
      <c r="AI42" s="19" t="s">
        <v>1152</v>
      </c>
      <c r="AJ42" s="19" t="s">
        <v>1153</v>
      </c>
      <c r="AK42" s="41"/>
      <c r="AL42" s="41"/>
      <c r="AM42" s="28" t="str">
        <f>UPPER("Perspective that moves you")</f>
        <v>PERSPECTIVE THAT MOVES YOU</v>
      </c>
      <c r="AN42" s="27"/>
      <c r="AO42" s="26" t="s">
        <v>1154</v>
      </c>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6" t="s">
        <v>150</v>
      </c>
      <c r="BU42" s="42" t="s">
        <v>151</v>
      </c>
      <c r="BV42" s="28" t="e">
        <f t="shared" ca="1" si="2"/>
        <v>#NAME?</v>
      </c>
      <c r="BW42" s="28"/>
      <c r="BX42" s="26" t="str">
        <f t="shared" si="5"/>
        <v>8e9f046e-f868-4f1a-8e17-24d94e265be0.jpg</v>
      </c>
      <c r="BY42" s="28" t="s">
        <v>1155</v>
      </c>
      <c r="BZ42" s="26" t="s">
        <v>1156</v>
      </c>
      <c r="CA42" s="26" t="s">
        <v>1140</v>
      </c>
      <c r="CB42" s="28"/>
      <c r="CC42" s="28"/>
      <c r="CD42" s="28"/>
      <c r="CE42" s="28"/>
      <c r="CF42" s="28"/>
      <c r="CG42" s="28"/>
    </row>
    <row r="43" spans="1:85" ht="15.75" customHeight="1" x14ac:dyDescent="0.2">
      <c r="A43" s="26" t="b">
        <v>1</v>
      </c>
      <c r="B43" s="31" t="s">
        <v>1157</v>
      </c>
      <c r="C43" s="69" t="s">
        <v>830</v>
      </c>
      <c r="D43" s="27" t="s">
        <v>117</v>
      </c>
      <c r="E43" s="70" t="s">
        <v>1158</v>
      </c>
      <c r="F43" s="27" t="s">
        <v>1159</v>
      </c>
      <c r="G43" s="27" t="str">
        <f t="shared" si="0"/>
        <v>AWAXDs_w256.webp</v>
      </c>
      <c r="H43" s="27" t="s">
        <v>833</v>
      </c>
      <c r="I43" s="70" t="s">
        <v>1160</v>
      </c>
      <c r="J43" s="55" t="s">
        <v>1161</v>
      </c>
      <c r="K43" s="45" t="s">
        <v>1162</v>
      </c>
      <c r="L43" s="26" t="s">
        <v>1163</v>
      </c>
      <c r="M43" s="53" t="s">
        <v>1164</v>
      </c>
      <c r="N43" s="57" t="s">
        <v>1165</v>
      </c>
      <c r="O43" s="28"/>
      <c r="P43" s="28"/>
      <c r="Q43" s="36" t="s">
        <v>1166</v>
      </c>
      <c r="R43" s="36" t="s">
        <v>1167</v>
      </c>
      <c r="S43" s="36" t="s">
        <v>1166</v>
      </c>
      <c r="T43" s="36" t="s">
        <v>1168</v>
      </c>
      <c r="U43" s="36" t="s">
        <v>1168</v>
      </c>
      <c r="V43" s="36"/>
      <c r="W43" s="47"/>
      <c r="X43" s="38" t="s">
        <v>1169</v>
      </c>
      <c r="Y43" s="28"/>
      <c r="Z43" s="28"/>
      <c r="AA43" s="28"/>
      <c r="AB43" s="35"/>
      <c r="AC43" s="71" t="s">
        <v>1170</v>
      </c>
      <c r="AD43" s="19" t="s">
        <v>1171</v>
      </c>
      <c r="AE43" s="19" t="s">
        <v>1172</v>
      </c>
      <c r="AF43" s="19" t="s">
        <v>1173</v>
      </c>
      <c r="AG43" s="19" t="s">
        <v>1174</v>
      </c>
      <c r="AH43" s="19" t="s">
        <v>1175</v>
      </c>
      <c r="AI43" s="19" t="s">
        <v>1176</v>
      </c>
      <c r="AJ43" s="19" t="s">
        <v>1177</v>
      </c>
      <c r="AK43" s="41"/>
      <c r="AL43" s="41"/>
      <c r="AM43" s="26" t="s">
        <v>1178</v>
      </c>
      <c r="AN43" s="18"/>
      <c r="AO43" s="26" t="s">
        <v>1179</v>
      </c>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36"/>
      <c r="BT43" s="27" t="s">
        <v>173</v>
      </c>
      <c r="BU43" s="42" t="s">
        <v>151</v>
      </c>
      <c r="BV43" s="28" t="e">
        <f t="shared" ca="1" si="2"/>
        <v>#NAME?</v>
      </c>
      <c r="BW43" s="28"/>
      <c r="BX43" s="26" t="str">
        <f t="shared" si="5"/>
        <v>fae6e73ecb31606f3920.jpg</v>
      </c>
      <c r="BY43" s="28" t="s">
        <v>1180</v>
      </c>
      <c r="BZ43" s="26" t="s">
        <v>1181</v>
      </c>
      <c r="CA43" s="26" t="s">
        <v>1163</v>
      </c>
      <c r="CB43" s="28"/>
      <c r="CC43" s="28"/>
      <c r="CD43" s="28"/>
      <c r="CE43" s="28"/>
      <c r="CF43" s="28"/>
      <c r="CG43" s="28"/>
    </row>
    <row r="44" spans="1:85" ht="15.75" customHeight="1" x14ac:dyDescent="0.2">
      <c r="A44" s="27" t="b">
        <v>1</v>
      </c>
      <c r="B44" s="31" t="s">
        <v>1182</v>
      </c>
      <c r="C44" s="50" t="s">
        <v>860</v>
      </c>
      <c r="D44" s="27" t="s">
        <v>117</v>
      </c>
      <c r="E44" s="51" t="s">
        <v>1183</v>
      </c>
      <c r="F44" s="27" t="s">
        <v>1184</v>
      </c>
      <c r="G44" s="27" t="str">
        <f t="shared" si="0"/>
        <v>A029_LÊ_HƯNG-removebg-preview_w256.webp</v>
      </c>
      <c r="H44" s="27" t="s">
        <v>833</v>
      </c>
      <c r="I44" s="51" t="s">
        <v>1185</v>
      </c>
      <c r="J44" s="52" t="s">
        <v>1186</v>
      </c>
      <c r="K44" s="34" t="s">
        <v>1187</v>
      </c>
      <c r="L44" s="26" t="s">
        <v>1188</v>
      </c>
      <c r="M44" s="53" t="s">
        <v>1189</v>
      </c>
      <c r="N44" s="54" t="e">
        <f t="shared" ref="N44:N54" ca="1" si="24">p_GMapLink(M44)</f>
        <v>#NAME?</v>
      </c>
      <c r="O44" s="28"/>
      <c r="P44" s="28"/>
      <c r="Q44" s="36" t="s">
        <v>1190</v>
      </c>
      <c r="R44" s="78" t="s">
        <v>1191</v>
      </c>
      <c r="S44" s="36" t="s">
        <v>1190</v>
      </c>
      <c r="T44" s="36" t="s">
        <v>1192</v>
      </c>
      <c r="U44" s="36" t="s">
        <v>1192</v>
      </c>
      <c r="V44" s="36"/>
      <c r="W44" s="47">
        <f t="shared" ref="W44:W45" si="25">Y44</f>
        <v>0</v>
      </c>
      <c r="X44" s="38" t="s">
        <v>1193</v>
      </c>
      <c r="Y44" s="28"/>
      <c r="Z44" s="28"/>
      <c r="AA44" s="28"/>
      <c r="AB44" s="35"/>
      <c r="AC44" s="40" t="s">
        <v>1194</v>
      </c>
      <c r="AD44" s="19" t="s">
        <v>1195</v>
      </c>
      <c r="AE44" s="19" t="s">
        <v>1196</v>
      </c>
      <c r="AF44" s="19" t="s">
        <v>1197</v>
      </c>
      <c r="AG44" s="19" t="s">
        <v>1198</v>
      </c>
      <c r="AH44" s="19" t="s">
        <v>1199</v>
      </c>
      <c r="AI44" s="19" t="s">
        <v>1200</v>
      </c>
      <c r="AJ44" s="19" t="s">
        <v>1201</v>
      </c>
      <c r="AK44" s="41"/>
      <c r="AL44" s="41"/>
      <c r="AM44" s="19" t="s">
        <v>1202</v>
      </c>
      <c r="AN44" s="27"/>
      <c r="AO44" s="26" t="s">
        <v>1203</v>
      </c>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36"/>
      <c r="BT44" s="27" t="s">
        <v>173</v>
      </c>
      <c r="BU44" s="42" t="s">
        <v>151</v>
      </c>
      <c r="BV44" s="28" t="e">
        <f t="shared" ca="1" si="2"/>
        <v>#NAME?</v>
      </c>
      <c r="BW44" s="36" t="s">
        <v>1204</v>
      </c>
      <c r="BX44" s="26" t="str">
        <f t="shared" si="5"/>
        <v>images.png</v>
      </c>
      <c r="BY44" s="28" t="s">
        <v>1205</v>
      </c>
      <c r="BZ44" s="26" t="s">
        <v>1206</v>
      </c>
      <c r="CA44" s="26" t="s">
        <v>1188</v>
      </c>
      <c r="CB44" s="28"/>
      <c r="CC44" s="28"/>
      <c r="CD44" s="28"/>
      <c r="CE44" s="28"/>
      <c r="CF44" s="28"/>
      <c r="CG44" s="28"/>
    </row>
    <row r="45" spans="1:85" ht="15.75" customHeight="1" x14ac:dyDescent="0.2">
      <c r="A45" s="30" t="b">
        <v>1</v>
      </c>
      <c r="B45" s="31" t="s">
        <v>1207</v>
      </c>
      <c r="C45" s="69" t="s">
        <v>882</v>
      </c>
      <c r="D45" s="27" t="s">
        <v>409</v>
      </c>
      <c r="E45" s="70" t="s">
        <v>1208</v>
      </c>
      <c r="F45" s="27" t="s">
        <v>1209</v>
      </c>
      <c r="G45" s="27" t="str">
        <f t="shared" si="0"/>
        <v>52113275-55f7-4e2f-b384-2964af11d1e0_w256.webp</v>
      </c>
      <c r="H45" s="27" t="s">
        <v>1020</v>
      </c>
      <c r="I45" s="70" t="s">
        <v>1210</v>
      </c>
      <c r="J45" s="55" t="s">
        <v>1211</v>
      </c>
      <c r="K45" s="45"/>
      <c r="L45" s="26" t="s">
        <v>1212</v>
      </c>
      <c r="M45" s="53" t="s">
        <v>1213</v>
      </c>
      <c r="N45" s="54" t="e">
        <f t="shared" ca="1" si="24"/>
        <v>#NAME?</v>
      </c>
      <c r="O45" s="28"/>
      <c r="P45" s="28"/>
      <c r="Q45" s="36" t="s">
        <v>1214</v>
      </c>
      <c r="R45" s="36" t="s">
        <v>1215</v>
      </c>
      <c r="S45" s="36" t="s">
        <v>1214</v>
      </c>
      <c r="T45" s="36" t="s">
        <v>1216</v>
      </c>
      <c r="U45" s="36" t="s">
        <v>1216</v>
      </c>
      <c r="V45" s="36"/>
      <c r="W45" s="37" t="str">
        <f t="shared" si="25"/>
        <v>https://fb.com/luu.khac.3</v>
      </c>
      <c r="X45" s="35"/>
      <c r="Y45" s="38" t="s">
        <v>1217</v>
      </c>
      <c r="Z45" s="28"/>
      <c r="AA45" s="35" t="s">
        <v>132</v>
      </c>
      <c r="AB45" s="35"/>
      <c r="AC45" s="71" t="s">
        <v>1218</v>
      </c>
      <c r="AD45" s="19" t="s">
        <v>1219</v>
      </c>
      <c r="AE45" s="19" t="s">
        <v>1220</v>
      </c>
      <c r="AF45" s="19" t="s">
        <v>1221</v>
      </c>
      <c r="AG45" s="19" t="s">
        <v>1222</v>
      </c>
      <c r="AH45" s="19" t="s">
        <v>1223</v>
      </c>
      <c r="AI45" s="19" t="s">
        <v>1224</v>
      </c>
      <c r="AJ45" s="19" t="s">
        <v>1225</v>
      </c>
      <c r="AK45" s="41"/>
      <c r="AL45" s="41"/>
      <c r="AM45" s="28"/>
      <c r="AN45" s="27"/>
      <c r="AO45" s="42" t="s">
        <v>1226</v>
      </c>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36"/>
      <c r="BT45" s="26" t="s">
        <v>150</v>
      </c>
      <c r="BU45" s="42" t="s">
        <v>151</v>
      </c>
      <c r="BV45" s="28" t="e">
        <f t="shared" ca="1" si="2"/>
        <v>#NAME?</v>
      </c>
      <c r="BW45" s="28"/>
      <c r="BX45" s="26" t="str">
        <f t="shared" si="5"/>
        <v>1fc49257-a173-4fe4-9d39-92ea1e435810.jpg</v>
      </c>
      <c r="BY45" s="28" t="s">
        <v>1227</v>
      </c>
      <c r="BZ45" s="26" t="s">
        <v>1228</v>
      </c>
      <c r="CA45" s="26" t="s">
        <v>1212</v>
      </c>
      <c r="CB45" s="28"/>
      <c r="CC45" s="28"/>
      <c r="CD45" s="28"/>
      <c r="CE45" s="28"/>
      <c r="CF45" s="28"/>
      <c r="CG45" s="28"/>
    </row>
    <row r="46" spans="1:85" ht="15.75" customHeight="1" x14ac:dyDescent="0.2">
      <c r="A46" s="27" t="b">
        <v>1</v>
      </c>
      <c r="B46" s="31" t="s">
        <v>323</v>
      </c>
      <c r="C46" s="50" t="s">
        <v>907</v>
      </c>
      <c r="D46" s="27" t="s">
        <v>117</v>
      </c>
      <c r="E46" s="51" t="s">
        <v>1229</v>
      </c>
      <c r="F46" s="27" t="s">
        <v>1230</v>
      </c>
      <c r="G46" s="27" t="str">
        <f t="shared" si="0"/>
        <v>6CCtI_w256.webp</v>
      </c>
      <c r="H46" s="27" t="s">
        <v>833</v>
      </c>
      <c r="I46" s="52" t="s">
        <v>1231</v>
      </c>
      <c r="J46" s="52" t="s">
        <v>1232</v>
      </c>
      <c r="K46" s="34" t="s">
        <v>1233</v>
      </c>
      <c r="L46" s="26" t="s">
        <v>1234</v>
      </c>
      <c r="M46" s="46" t="s">
        <v>1235</v>
      </c>
      <c r="N46" s="54" t="e">
        <f t="shared" ca="1" si="24"/>
        <v>#NAME?</v>
      </c>
      <c r="O46" s="28"/>
      <c r="P46" s="28"/>
      <c r="Q46" s="36" t="s">
        <v>1236</v>
      </c>
      <c r="R46" s="36" t="s">
        <v>1237</v>
      </c>
      <c r="S46" s="36" t="s">
        <v>1236</v>
      </c>
      <c r="T46" s="36" t="s">
        <v>1238</v>
      </c>
      <c r="U46" s="36" t="s">
        <v>1238</v>
      </c>
      <c r="V46" s="36"/>
      <c r="W46" s="47"/>
      <c r="X46" s="35" t="s">
        <v>1239</v>
      </c>
      <c r="Y46" s="28"/>
      <c r="Z46" s="28"/>
      <c r="AA46" s="28"/>
      <c r="AB46" s="35"/>
      <c r="AC46" s="40" t="s">
        <v>1240</v>
      </c>
      <c r="AD46" s="19" t="s">
        <v>1241</v>
      </c>
      <c r="AE46" s="19" t="s">
        <v>1242</v>
      </c>
      <c r="AF46" s="19" t="s">
        <v>1243</v>
      </c>
      <c r="AG46" s="19" t="s">
        <v>1244</v>
      </c>
      <c r="AH46" s="19" t="s">
        <v>1245</v>
      </c>
      <c r="AI46" s="19" t="s">
        <v>1246</v>
      </c>
      <c r="AJ46" s="19" t="s">
        <v>1247</v>
      </c>
      <c r="AK46" s="41"/>
      <c r="AL46" s="41"/>
      <c r="AM46" s="19" t="s">
        <v>1248</v>
      </c>
      <c r="AN46" s="27"/>
      <c r="AO46" s="26" t="s">
        <v>1249</v>
      </c>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36"/>
      <c r="BT46" s="27" t="s">
        <v>173</v>
      </c>
      <c r="BU46" s="42" t="s">
        <v>151</v>
      </c>
      <c r="BV46" s="28" t="e">
        <f t="shared" ca="1" si="2"/>
        <v>#NAME?</v>
      </c>
      <c r="BW46" s="28"/>
      <c r="BX46" s="26" t="str">
        <f t="shared" si="5"/>
        <v>thuanthienphat.png</v>
      </c>
      <c r="BY46" s="28" t="s">
        <v>1250</v>
      </c>
      <c r="BZ46" s="26" t="s">
        <v>1251</v>
      </c>
      <c r="CA46" s="26" t="s">
        <v>1234</v>
      </c>
      <c r="CB46" s="28"/>
      <c r="CC46" s="28"/>
      <c r="CD46" s="28"/>
      <c r="CE46" s="28"/>
      <c r="CF46" s="28"/>
      <c r="CG46" s="28"/>
    </row>
    <row r="47" spans="1:85" ht="15.75" customHeight="1" x14ac:dyDescent="0.2">
      <c r="A47" s="30" t="b">
        <v>1</v>
      </c>
      <c r="B47" s="31" t="s">
        <v>1252</v>
      </c>
      <c r="C47" s="69" t="s">
        <v>929</v>
      </c>
      <c r="D47" s="27" t="s">
        <v>409</v>
      </c>
      <c r="E47" s="70" t="s">
        <v>1253</v>
      </c>
      <c r="F47" s="27" t="s">
        <v>1254</v>
      </c>
      <c r="G47" s="27" t="str">
        <f t="shared" si="0"/>
        <v>A032_ĐẶNG THỊ YẾN_w256.webp</v>
      </c>
      <c r="H47" s="27" t="s">
        <v>1255</v>
      </c>
      <c r="I47" s="55" t="s">
        <v>1256</v>
      </c>
      <c r="J47" s="55" t="s">
        <v>1257</v>
      </c>
      <c r="K47" s="45" t="s">
        <v>1258</v>
      </c>
      <c r="L47" s="98" t="s">
        <v>1259</v>
      </c>
      <c r="M47" s="53" t="s">
        <v>1260</v>
      </c>
      <c r="N47" s="54" t="e">
        <f t="shared" ca="1" si="24"/>
        <v>#NAME?</v>
      </c>
      <c r="O47" s="28"/>
      <c r="P47" s="28"/>
      <c r="Q47" s="36" t="s">
        <v>1261</v>
      </c>
      <c r="R47" s="78" t="s">
        <v>1262</v>
      </c>
      <c r="S47" s="36" t="s">
        <v>1261</v>
      </c>
      <c r="T47" s="36" t="s">
        <v>1263</v>
      </c>
      <c r="U47" s="36" t="s">
        <v>1263</v>
      </c>
      <c r="V47" s="36"/>
      <c r="W47" s="47"/>
      <c r="X47" s="38" t="s">
        <v>1264</v>
      </c>
      <c r="Y47" s="28"/>
      <c r="Z47" s="28"/>
      <c r="AA47" s="97" t="s">
        <v>132</v>
      </c>
      <c r="AB47" s="35"/>
      <c r="AC47" s="71" t="s">
        <v>1265</v>
      </c>
      <c r="AD47" s="19" t="s">
        <v>1266</v>
      </c>
      <c r="AE47" s="19" t="s">
        <v>1267</v>
      </c>
      <c r="AF47" s="19" t="s">
        <v>1268</v>
      </c>
      <c r="AG47" s="19" t="s">
        <v>1269</v>
      </c>
      <c r="AH47" s="19" t="s">
        <v>1270</v>
      </c>
      <c r="AI47" s="19" t="s">
        <v>1271</v>
      </c>
      <c r="AJ47" s="19" t="s">
        <v>1272</v>
      </c>
      <c r="AK47" s="41"/>
      <c r="AL47" s="41"/>
      <c r="AM47" s="19" t="s">
        <v>1273</v>
      </c>
      <c r="AN47" s="27"/>
      <c r="AO47" s="26" t="s">
        <v>1274</v>
      </c>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36"/>
      <c r="BT47" s="26" t="s">
        <v>150</v>
      </c>
      <c r="BU47" s="42" t="s">
        <v>151</v>
      </c>
      <c r="BV47" s="28" t="e">
        <f t="shared" ca="1" si="2"/>
        <v>#NAME?</v>
      </c>
      <c r="BW47" s="28"/>
      <c r="BX47" s="26" t="str">
        <f t="shared" si="5"/>
        <v>grfood_H128.png</v>
      </c>
      <c r="BY47" s="28" t="s">
        <v>1275</v>
      </c>
      <c r="BZ47" s="26" t="s">
        <v>1276</v>
      </c>
      <c r="CA47" s="98" t="s">
        <v>1259</v>
      </c>
      <c r="CB47" s="28"/>
      <c r="CC47" s="28"/>
      <c r="CD47" s="28"/>
      <c r="CE47" s="28"/>
      <c r="CF47" s="28"/>
      <c r="CG47" s="28"/>
    </row>
    <row r="48" spans="1:85" ht="15.75" customHeight="1" x14ac:dyDescent="0.2">
      <c r="A48" s="27" t="b">
        <v>1</v>
      </c>
      <c r="B48" s="31" t="s">
        <v>883</v>
      </c>
      <c r="C48" s="50" t="s">
        <v>955</v>
      </c>
      <c r="D48" s="27" t="s">
        <v>117</v>
      </c>
      <c r="E48" s="51" t="s">
        <v>1277</v>
      </c>
      <c r="F48" s="27" t="s">
        <v>1278</v>
      </c>
      <c r="G48" s="27" t="str">
        <f t="shared" si="0"/>
        <v>6fa1ae47-3332-4fd9-a7a3-7d30791f1b93-removebg-preview_w256.webp</v>
      </c>
      <c r="H48" s="27" t="s">
        <v>1279</v>
      </c>
      <c r="I48" s="51" t="s">
        <v>1280</v>
      </c>
      <c r="J48" s="52" t="s">
        <v>1281</v>
      </c>
      <c r="K48" s="34" t="s">
        <v>1282</v>
      </c>
      <c r="L48" s="26" t="s">
        <v>1283</v>
      </c>
      <c r="M48" s="53" t="s">
        <v>1284</v>
      </c>
      <c r="N48" s="54" t="e">
        <f t="shared" ca="1" si="24"/>
        <v>#NAME?</v>
      </c>
      <c r="O48" s="28"/>
      <c r="P48" s="28"/>
      <c r="Q48" s="36" t="s">
        <v>1285</v>
      </c>
      <c r="R48" s="36" t="s">
        <v>1286</v>
      </c>
      <c r="S48" s="36" t="s">
        <v>1285</v>
      </c>
      <c r="T48" s="36" t="s">
        <v>1287</v>
      </c>
      <c r="U48" s="36" t="s">
        <v>1287</v>
      </c>
      <c r="V48" s="36"/>
      <c r="W48" s="47"/>
      <c r="X48" s="35" t="s">
        <v>1288</v>
      </c>
      <c r="Y48" s="28"/>
      <c r="Z48" s="28"/>
      <c r="AA48" s="28"/>
      <c r="AB48" s="35"/>
      <c r="AC48" s="40" t="s">
        <v>1289</v>
      </c>
      <c r="AD48" s="19" t="s">
        <v>1290</v>
      </c>
      <c r="AE48" s="19" t="s">
        <v>1291</v>
      </c>
      <c r="AF48" s="19" t="s">
        <v>1292</v>
      </c>
      <c r="AG48" s="19" t="s">
        <v>1293</v>
      </c>
      <c r="AH48" s="19" t="s">
        <v>1294</v>
      </c>
      <c r="AI48" s="19" t="s">
        <v>1295</v>
      </c>
      <c r="AJ48" s="19" t="s">
        <v>1296</v>
      </c>
      <c r="AK48" s="41"/>
      <c r="AL48" s="41"/>
      <c r="AM48" s="19" t="s">
        <v>1297</v>
      </c>
      <c r="AN48" s="27"/>
      <c r="AO48" s="26" t="s">
        <v>1298</v>
      </c>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36"/>
      <c r="BT48" s="27" t="s">
        <v>173</v>
      </c>
      <c r="BU48" s="42" t="s">
        <v>151</v>
      </c>
      <c r="BV48" s="28" t="e">
        <f t="shared" ca="1" si="2"/>
        <v>#NAME?</v>
      </c>
      <c r="BW48" s="28"/>
      <c r="BX48" s="26" t="str">
        <f t="shared" si="5"/>
        <v>Screenshot 2026-03-18 142553.png</v>
      </c>
      <c r="BY48" s="28" t="s">
        <v>1299</v>
      </c>
      <c r="BZ48" s="26" t="s">
        <v>1300</v>
      </c>
      <c r="CA48" s="26" t="s">
        <v>1283</v>
      </c>
      <c r="CB48" s="28"/>
      <c r="CC48" s="28"/>
      <c r="CD48" s="28"/>
      <c r="CE48" s="28"/>
      <c r="CF48" s="28"/>
      <c r="CG48" s="28"/>
    </row>
    <row r="49" spans="1:85" ht="15.75" customHeight="1" x14ac:dyDescent="0.2">
      <c r="A49" s="27" t="b">
        <v>1</v>
      </c>
      <c r="B49" s="31" t="s">
        <v>1301</v>
      </c>
      <c r="C49" s="69" t="s">
        <v>971</v>
      </c>
      <c r="D49" s="27" t="s">
        <v>117</v>
      </c>
      <c r="E49" s="70" t="s">
        <v>1302</v>
      </c>
      <c r="F49" s="27" t="s">
        <v>1303</v>
      </c>
      <c r="G49" s="27" t="str">
        <f t="shared" si="0"/>
        <v>A034_PHAN VĂN ĐAN HUYỀN_w256.webp</v>
      </c>
      <c r="H49" s="27" t="s">
        <v>1304</v>
      </c>
      <c r="I49" s="70" t="s">
        <v>1305</v>
      </c>
      <c r="J49" s="55" t="s">
        <v>1306</v>
      </c>
      <c r="K49" s="45" t="s">
        <v>1307</v>
      </c>
      <c r="L49" s="26" t="s">
        <v>1308</v>
      </c>
      <c r="M49" s="46" t="e">
        <f ca="1">p_LayTTDN_Full(K49, "dc")</f>
        <v>#NAME?</v>
      </c>
      <c r="N49" s="54" t="e">
        <f t="shared" ca="1" si="24"/>
        <v>#NAME?</v>
      </c>
      <c r="O49" s="28"/>
      <c r="P49" s="28"/>
      <c r="Q49" s="36" t="s">
        <v>1309</v>
      </c>
      <c r="R49" s="108" t="s">
        <v>1310</v>
      </c>
      <c r="S49" s="36" t="s">
        <v>1309</v>
      </c>
      <c r="T49" s="36" t="s">
        <v>1311</v>
      </c>
      <c r="U49" s="36" t="s">
        <v>1311</v>
      </c>
      <c r="V49" s="36"/>
      <c r="W49" s="47"/>
      <c r="X49" s="38" t="s">
        <v>1312</v>
      </c>
      <c r="Y49" s="28"/>
      <c r="Z49" s="28"/>
      <c r="AA49" s="28"/>
      <c r="AB49" s="35"/>
      <c r="AC49" s="71" t="s">
        <v>552</v>
      </c>
      <c r="AD49" s="19" t="s">
        <v>1313</v>
      </c>
      <c r="AE49" s="19" t="s">
        <v>1314</v>
      </c>
      <c r="AF49" s="19" t="s">
        <v>1315</v>
      </c>
      <c r="AG49" s="19" t="s">
        <v>1316</v>
      </c>
      <c r="AH49" s="19" t="s">
        <v>1317</v>
      </c>
      <c r="AI49" s="19" t="s">
        <v>1318</v>
      </c>
      <c r="AJ49" s="19" t="s">
        <v>1319</v>
      </c>
      <c r="AK49" s="41"/>
      <c r="AL49" s="41"/>
      <c r="AM49" s="28"/>
      <c r="AN49" s="27"/>
      <c r="AO49" s="26" t="s">
        <v>1320</v>
      </c>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36"/>
      <c r="BT49" s="27" t="s">
        <v>173</v>
      </c>
      <c r="BU49" s="42" t="s">
        <v>151</v>
      </c>
      <c r="BV49" s="28" t="e">
        <f t="shared" ca="1" si="2"/>
        <v>#NAME?</v>
      </c>
      <c r="BW49" s="28"/>
      <c r="BX49" s="26" t="str">
        <f t="shared" si="5"/>
        <v>Screenshot 2026-03-18 144244.png</v>
      </c>
      <c r="BY49" s="28" t="s">
        <v>1321</v>
      </c>
      <c r="BZ49" s="26" t="s">
        <v>1322</v>
      </c>
      <c r="CA49" s="26" t="s">
        <v>1308</v>
      </c>
      <c r="CB49" s="28"/>
      <c r="CC49" s="28"/>
      <c r="CD49" s="28"/>
      <c r="CE49" s="28"/>
      <c r="CF49" s="28"/>
      <c r="CG49" s="28"/>
    </row>
    <row r="50" spans="1:85" ht="15.75" customHeight="1" x14ac:dyDescent="0.2">
      <c r="A50" s="27" t="b">
        <v>1</v>
      </c>
      <c r="B50" s="31" t="s">
        <v>1323</v>
      </c>
      <c r="C50" s="50" t="s">
        <v>995</v>
      </c>
      <c r="D50" s="27" t="s">
        <v>117</v>
      </c>
      <c r="E50" s="51" t="s">
        <v>1324</v>
      </c>
      <c r="F50" s="27" t="s">
        <v>1325</v>
      </c>
      <c r="G50" s="27" t="str">
        <f t="shared" si="0"/>
        <v>A035_HOÀNG ĐỨC NAM_w256.webp</v>
      </c>
      <c r="H50" s="27" t="s">
        <v>833</v>
      </c>
      <c r="I50" s="51" t="s">
        <v>1326</v>
      </c>
      <c r="J50" s="52" t="s">
        <v>1327</v>
      </c>
      <c r="K50" s="34" t="s">
        <v>1328</v>
      </c>
      <c r="L50" s="26" t="s">
        <v>1329</v>
      </c>
      <c r="M50" s="53" t="s">
        <v>1330</v>
      </c>
      <c r="N50" s="54" t="e">
        <f t="shared" ca="1" si="24"/>
        <v>#NAME?</v>
      </c>
      <c r="O50" s="28"/>
      <c r="P50" s="28"/>
      <c r="Q50" s="36" t="s">
        <v>1331</v>
      </c>
      <c r="R50" s="36" t="s">
        <v>1332</v>
      </c>
      <c r="S50" s="36" t="s">
        <v>1331</v>
      </c>
      <c r="T50" s="36" t="s">
        <v>1333</v>
      </c>
      <c r="U50" s="36" t="s">
        <v>1333</v>
      </c>
      <c r="V50" s="36"/>
      <c r="W50" s="47"/>
      <c r="X50" s="38" t="s">
        <v>1334</v>
      </c>
      <c r="Y50" s="28"/>
      <c r="Z50" s="28"/>
      <c r="AA50" s="28"/>
      <c r="AB50" s="35"/>
      <c r="AC50" s="40" t="s">
        <v>1335</v>
      </c>
      <c r="AD50" s="19" t="s">
        <v>1336</v>
      </c>
      <c r="AE50" s="19" t="s">
        <v>1337</v>
      </c>
      <c r="AF50" s="19" t="s">
        <v>1338</v>
      </c>
      <c r="AG50" s="19" t="s">
        <v>1339</v>
      </c>
      <c r="AH50" s="19" t="s">
        <v>1340</v>
      </c>
      <c r="AI50" s="19" t="s">
        <v>1341</v>
      </c>
      <c r="AJ50" s="19" t="s">
        <v>1342</v>
      </c>
      <c r="AK50" s="41"/>
      <c r="AL50" s="41"/>
      <c r="AM50" s="19" t="s">
        <v>1343</v>
      </c>
      <c r="AN50" s="38" t="s">
        <v>1344</v>
      </c>
      <c r="AO50" s="26" t="s">
        <v>1345</v>
      </c>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36"/>
      <c r="BT50" s="27" t="s">
        <v>173</v>
      </c>
      <c r="BU50" s="42" t="s">
        <v>151</v>
      </c>
      <c r="BV50" s="28" t="e">
        <f t="shared" ca="1" si="2"/>
        <v>#NAME?</v>
      </c>
      <c r="BW50" s="26" t="s">
        <v>1346</v>
      </c>
      <c r="BX50" s="28"/>
      <c r="BY50" s="28" t="s">
        <v>1325</v>
      </c>
      <c r="BZ50" s="26" t="s">
        <v>1347</v>
      </c>
      <c r="CA50" s="26" t="s">
        <v>1329</v>
      </c>
      <c r="CB50" s="28"/>
      <c r="CC50" s="28"/>
      <c r="CD50" s="28"/>
      <c r="CE50" s="28"/>
      <c r="CF50" s="28"/>
      <c r="CG50" s="28"/>
    </row>
    <row r="51" spans="1:85" ht="15.75" customHeight="1" x14ac:dyDescent="0.2">
      <c r="A51" s="27" t="b">
        <v>1</v>
      </c>
      <c r="B51" s="31" t="s">
        <v>1348</v>
      </c>
      <c r="C51" s="69" t="s">
        <v>1039</v>
      </c>
      <c r="D51" s="27" t="s">
        <v>409</v>
      </c>
      <c r="E51" s="109" t="s">
        <v>1349</v>
      </c>
      <c r="F51" s="27" t="s">
        <v>1350</v>
      </c>
      <c r="G51" s="27" t="str">
        <f t="shared" si="0"/>
        <v>LKN_7387_-_Tuyet_Hoang-removebg-preview_w256.webp</v>
      </c>
      <c r="H51" s="26" t="s">
        <v>833</v>
      </c>
      <c r="I51" s="55" t="s">
        <v>1351</v>
      </c>
      <c r="J51" s="55" t="s">
        <v>1352</v>
      </c>
      <c r="K51" s="56" t="s">
        <v>1353</v>
      </c>
      <c r="L51" s="26" t="s">
        <v>1354</v>
      </c>
      <c r="M51" s="53" t="s">
        <v>1355</v>
      </c>
      <c r="N51" s="54" t="e">
        <f t="shared" ca="1" si="24"/>
        <v>#NAME?</v>
      </c>
      <c r="O51" s="28"/>
      <c r="P51" s="28"/>
      <c r="Q51" s="110" t="s">
        <v>1356</v>
      </c>
      <c r="R51" s="78" t="s">
        <v>1357</v>
      </c>
      <c r="S51" s="36" t="str">
        <f t="shared" ref="S51:S52" si="26">Q51</f>
        <v>0933852339</v>
      </c>
      <c r="T51" s="36" t="str">
        <f t="shared" ref="T51:T52" si="27">"84"&amp;IF(LEN(Q51)=10, RIGHT(Q51,9), Q51)</f>
        <v>84933852339</v>
      </c>
      <c r="U51" s="36" t="str">
        <f t="shared" ref="U51:U52" si="28">"84"&amp;IF(LEN(Q51)=10, RIGHT(Q51,9), Q51)</f>
        <v>84933852339</v>
      </c>
      <c r="V51" s="36"/>
      <c r="W51" s="47">
        <f t="shared" ref="W51:W53" si="29">Y51</f>
        <v>0</v>
      </c>
      <c r="X51" s="98" t="s">
        <v>1358</v>
      </c>
      <c r="Y51" s="28"/>
      <c r="Z51" s="28"/>
      <c r="AA51" s="28"/>
      <c r="AB51" s="35"/>
      <c r="AC51" s="55" t="s">
        <v>1359</v>
      </c>
      <c r="AD51" s="26" t="s">
        <v>1360</v>
      </c>
      <c r="AE51" s="18"/>
      <c r="AF51" s="28"/>
      <c r="AG51" s="28"/>
      <c r="AH51" s="28"/>
      <c r="AI51" s="28"/>
      <c r="AJ51" s="41"/>
      <c r="AK51" s="41"/>
      <c r="AL51" s="41"/>
      <c r="AM51" s="28"/>
      <c r="AN51" s="27"/>
      <c r="AO51" s="27"/>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7" t="s">
        <v>173</v>
      </c>
      <c r="BU51" s="42" t="s">
        <v>151</v>
      </c>
      <c r="BV51" s="28" t="e">
        <f t="shared" ca="1" si="2"/>
        <v>#NAME?</v>
      </c>
      <c r="BW51" s="28"/>
      <c r="BX51" s="26" t="str">
        <f t="shared" ref="BX51:BX68" si="30">L51</f>
        <v>2e92267439e8b7b6eef92.jpg</v>
      </c>
      <c r="BY51" s="28" t="s">
        <v>1361</v>
      </c>
      <c r="BZ51" s="26" t="s">
        <v>1362</v>
      </c>
      <c r="CA51" s="26" t="s">
        <v>1354</v>
      </c>
      <c r="CB51" s="28"/>
      <c r="CC51" s="28"/>
      <c r="CD51" s="28"/>
      <c r="CE51" s="28"/>
      <c r="CF51" s="28"/>
      <c r="CG51" s="28"/>
    </row>
    <row r="52" spans="1:85" ht="15.75" customHeight="1" x14ac:dyDescent="0.2">
      <c r="A52" s="30" t="b">
        <v>1</v>
      </c>
      <c r="B52" s="31" t="s">
        <v>1363</v>
      </c>
      <c r="C52" s="50" t="s">
        <v>1066</v>
      </c>
      <c r="D52" s="27" t="s">
        <v>117</v>
      </c>
      <c r="E52" s="51" t="s">
        <v>1364</v>
      </c>
      <c r="F52" s="27" t="s">
        <v>1365</v>
      </c>
      <c r="G52" s="27" t="str">
        <f t="shared" si="0"/>
        <v>bac715a6-d012-4867-838b-ce49f5d88184_w256.webp</v>
      </c>
      <c r="H52" s="26" t="s">
        <v>1279</v>
      </c>
      <c r="I52" s="40" t="s">
        <v>1366</v>
      </c>
      <c r="J52" s="52" t="s">
        <v>1367</v>
      </c>
      <c r="K52" s="34" t="s">
        <v>1368</v>
      </c>
      <c r="L52" s="26" t="s">
        <v>1369</v>
      </c>
      <c r="M52" s="40" t="s">
        <v>1370</v>
      </c>
      <c r="N52" s="54" t="e">
        <f t="shared" ca="1" si="24"/>
        <v>#NAME?</v>
      </c>
      <c r="O52" s="40" t="s">
        <v>1371</v>
      </c>
      <c r="P52" s="54" t="e">
        <f ca="1">p_GMapLink(O52)</f>
        <v>#NAME?</v>
      </c>
      <c r="Q52" s="78" t="s">
        <v>1372</v>
      </c>
      <c r="R52" s="85" t="s">
        <v>1373</v>
      </c>
      <c r="S52" s="36" t="str">
        <f t="shared" si="26"/>
        <v>0914994997</v>
      </c>
      <c r="T52" s="36" t="str">
        <f t="shared" si="27"/>
        <v>84914994997</v>
      </c>
      <c r="U52" s="36" t="str">
        <f t="shared" si="28"/>
        <v>84914994997</v>
      </c>
      <c r="V52" s="36"/>
      <c r="W52" s="37" t="str">
        <f t="shared" si="29"/>
        <v>https://www.facebook.com/ThienPhatTien</v>
      </c>
      <c r="X52" s="38" t="s">
        <v>1374</v>
      </c>
      <c r="Y52" s="57" t="s">
        <v>1375</v>
      </c>
      <c r="Z52" s="28"/>
      <c r="AA52" s="35" t="s">
        <v>132</v>
      </c>
      <c r="AB52" s="38" t="s">
        <v>1376</v>
      </c>
      <c r="AC52" s="40" t="s">
        <v>1377</v>
      </c>
      <c r="AD52" s="19" t="s">
        <v>1378</v>
      </c>
      <c r="AE52" s="19" t="s">
        <v>1379</v>
      </c>
      <c r="AF52" s="19" t="s">
        <v>1380</v>
      </c>
      <c r="AG52" s="19" t="s">
        <v>1381</v>
      </c>
      <c r="AH52" s="19" t="s">
        <v>1382</v>
      </c>
      <c r="AI52" s="19" t="s">
        <v>1383</v>
      </c>
      <c r="AJ52" s="19" t="s">
        <v>1384</v>
      </c>
      <c r="AK52" s="41"/>
      <c r="AL52" s="41"/>
      <c r="AM52" s="26" t="s">
        <v>1385</v>
      </c>
      <c r="AN52" s="27"/>
      <c r="AO52" s="26" t="s">
        <v>1386</v>
      </c>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6" t="s">
        <v>150</v>
      </c>
      <c r="BU52" s="42" t="s">
        <v>151</v>
      </c>
      <c r="BV52" s="28" t="e">
        <f t="shared" ca="1" si="2"/>
        <v>#NAME?</v>
      </c>
      <c r="BW52" s="28"/>
      <c r="BX52" s="26" t="str">
        <f t="shared" si="30"/>
        <v>logo-cuoitrang-thientienphat-01 - Copy.png</v>
      </c>
      <c r="BY52" s="28" t="s">
        <v>1387</v>
      </c>
      <c r="BZ52" s="26" t="s">
        <v>1388</v>
      </c>
      <c r="CA52" s="26" t="s">
        <v>1369</v>
      </c>
      <c r="CB52" s="28"/>
      <c r="CC52" s="28"/>
      <c r="CD52" s="28"/>
      <c r="CE52" s="28"/>
      <c r="CF52" s="28"/>
      <c r="CG52" s="28"/>
    </row>
    <row r="53" spans="1:85" ht="15.75" customHeight="1" x14ac:dyDescent="0.2">
      <c r="A53" s="27" t="b">
        <v>1</v>
      </c>
      <c r="B53" s="101" t="s">
        <v>1389</v>
      </c>
      <c r="C53" s="69" t="s">
        <v>1110</v>
      </c>
      <c r="D53" s="27" t="s">
        <v>409</v>
      </c>
      <c r="E53" s="70" t="s">
        <v>1390</v>
      </c>
      <c r="F53" s="27" t="s">
        <v>1391</v>
      </c>
      <c r="G53" s="27" t="str">
        <f t="shared" si="0"/>
        <v>A040_TRẦN_KHÁNH_HUYỀN_TRANG-removebg-preview_w256.webp</v>
      </c>
      <c r="H53" s="27" t="s">
        <v>1392</v>
      </c>
      <c r="I53" s="70" t="s">
        <v>1393</v>
      </c>
      <c r="J53" s="55" t="s">
        <v>1394</v>
      </c>
      <c r="K53" s="45" t="s">
        <v>1395</v>
      </c>
      <c r="L53" s="27" t="e">
        <f>VLOOKUP(C53,#REF!, 11, FALSE)</f>
        <v>#REF!</v>
      </c>
      <c r="M53" s="46" t="s">
        <v>1396</v>
      </c>
      <c r="N53" s="54" t="e">
        <f t="shared" ca="1" si="24"/>
        <v>#NAME?</v>
      </c>
      <c r="O53" s="28"/>
      <c r="P53" s="28"/>
      <c r="Q53" s="36" t="s">
        <v>1397</v>
      </c>
      <c r="R53" s="36" t="s">
        <v>1398</v>
      </c>
      <c r="S53" s="36" t="s">
        <v>1397</v>
      </c>
      <c r="T53" s="36" t="s">
        <v>1399</v>
      </c>
      <c r="U53" s="36" t="s">
        <v>1399</v>
      </c>
      <c r="V53" s="36"/>
      <c r="W53" s="47">
        <f t="shared" si="29"/>
        <v>0</v>
      </c>
      <c r="X53" s="35" t="e">
        <f>IF(ISERROR(VLOOKUP(E53,#REF!, 9, FALSE)), VLOOKUP(Q53,#REF!, 16, FALSE), VLOOKUP(E53,#REF!, 9, FALSE))</f>
        <v>#REF!</v>
      </c>
      <c r="Y53" s="28"/>
      <c r="Z53" s="28"/>
      <c r="AA53" s="97" t="s">
        <v>132</v>
      </c>
      <c r="AB53" s="35"/>
      <c r="AC53" s="70" t="s">
        <v>1400</v>
      </c>
      <c r="AD53" s="111" t="e">
        <f>VLOOKUP(E53,#REF!, 3, FALSE)</f>
        <v>#REF!</v>
      </c>
      <c r="AE53" s="18"/>
      <c r="AF53" s="28"/>
      <c r="AG53" s="28"/>
      <c r="AH53" s="28"/>
      <c r="AI53" s="28"/>
      <c r="AJ53" s="41" t="e">
        <v>#N/A</v>
      </c>
      <c r="AK53" s="41" t="e">
        <v>#N/A</v>
      </c>
      <c r="AL53" s="41" t="e">
        <v>#N/A</v>
      </c>
      <c r="AM53" s="28"/>
      <c r="AN53" s="27"/>
      <c r="AO53" s="27" t="e">
        <v>#N/A</v>
      </c>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36"/>
      <c r="BT53" s="27" t="s">
        <v>173</v>
      </c>
      <c r="BU53" s="42" t="s">
        <v>1401</v>
      </c>
      <c r="BV53" s="28" t="e">
        <f t="shared" ca="1" si="2"/>
        <v>#NAME?</v>
      </c>
      <c r="BW53" s="28"/>
      <c r="BX53" s="26" t="e">
        <f t="shared" si="30"/>
        <v>#REF!</v>
      </c>
      <c r="BY53" s="28" t="e">
        <v>#VALUE!</v>
      </c>
      <c r="BZ53" s="26" t="s">
        <v>1402</v>
      </c>
      <c r="CA53" s="27" t="e">
        <f>IF(ISERROR(VLOOKUP(BT53,#REF!, 11, FALSE)), VLOOKUP(CF53,#REF!, 7, FALSE), VLOOKUP(BT53, BR:CM, 11, FALSE))</f>
        <v>#REF!</v>
      </c>
      <c r="CB53" s="28"/>
      <c r="CC53" s="28"/>
      <c r="CD53" s="28"/>
      <c r="CE53" s="28"/>
      <c r="CF53" s="28"/>
      <c r="CG53" s="28"/>
    </row>
    <row r="54" spans="1:85" ht="15.75" customHeight="1" x14ac:dyDescent="0.2">
      <c r="A54" s="30" t="b">
        <v>1</v>
      </c>
      <c r="B54" s="31" t="s">
        <v>805</v>
      </c>
      <c r="C54" s="50" t="s">
        <v>1135</v>
      </c>
      <c r="D54" s="27" t="s">
        <v>409</v>
      </c>
      <c r="E54" s="51" t="s">
        <v>1403</v>
      </c>
      <c r="F54" s="27" t="s">
        <v>1404</v>
      </c>
      <c r="G54" s="27" t="str">
        <f t="shared" si="0"/>
        <v>A041_Lê Thị Phương Nhi_w256.webp</v>
      </c>
      <c r="H54" s="27" t="s">
        <v>1405</v>
      </c>
      <c r="I54" s="52" t="s">
        <v>1406</v>
      </c>
      <c r="J54" s="52" t="s">
        <v>1407</v>
      </c>
      <c r="K54" s="34" t="s">
        <v>1408</v>
      </c>
      <c r="L54" s="26" t="s">
        <v>1409</v>
      </c>
      <c r="M54" s="53" t="s">
        <v>1410</v>
      </c>
      <c r="N54" s="54" t="e">
        <f t="shared" ca="1" si="24"/>
        <v>#NAME?</v>
      </c>
      <c r="O54" s="19" t="s">
        <v>1411</v>
      </c>
      <c r="P54" s="54" t="e">
        <f ca="1">p_GMapLink(O54)</f>
        <v>#NAME?</v>
      </c>
      <c r="Q54" s="36" t="s">
        <v>1412</v>
      </c>
      <c r="R54" s="36" t="s">
        <v>1413</v>
      </c>
      <c r="S54" s="36" t="s">
        <v>1412</v>
      </c>
      <c r="T54" s="36" t="s">
        <v>1414</v>
      </c>
      <c r="U54" s="36" t="s">
        <v>1414</v>
      </c>
      <c r="V54" s="36"/>
      <c r="W54" s="47"/>
      <c r="X54" s="88" t="s">
        <v>1415</v>
      </c>
      <c r="Y54" s="28"/>
      <c r="Z54" s="28"/>
      <c r="AA54" s="97" t="s">
        <v>132</v>
      </c>
      <c r="AB54" s="35"/>
      <c r="AC54" s="40" t="s">
        <v>1416</v>
      </c>
      <c r="AD54" s="19" t="s">
        <v>1417</v>
      </c>
      <c r="AE54" s="19" t="s">
        <v>1418</v>
      </c>
      <c r="AF54" s="19" t="s">
        <v>1419</v>
      </c>
      <c r="AG54" s="19" t="s">
        <v>1420</v>
      </c>
      <c r="AH54" s="19" t="s">
        <v>1421</v>
      </c>
      <c r="AI54" s="19" t="s">
        <v>1422</v>
      </c>
      <c r="AJ54" s="19" t="s">
        <v>1423</v>
      </c>
      <c r="AK54" s="41"/>
      <c r="AL54" s="41"/>
      <c r="AM54" s="28"/>
      <c r="AN54" s="27"/>
      <c r="AO54" s="26" t="s">
        <v>1424</v>
      </c>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36"/>
      <c r="BT54" s="26" t="s">
        <v>150</v>
      </c>
      <c r="BU54" s="42" t="s">
        <v>151</v>
      </c>
      <c r="BV54" s="28" t="e">
        <f t="shared" ca="1" si="2"/>
        <v>#NAME?</v>
      </c>
      <c r="BW54" s="28"/>
      <c r="BX54" s="26" t="str">
        <f t="shared" si="30"/>
        <v>logo.png</v>
      </c>
      <c r="BY54" s="28" t="s">
        <v>1425</v>
      </c>
      <c r="BZ54" s="26" t="s">
        <v>1426</v>
      </c>
      <c r="CA54" s="26" t="s">
        <v>1409</v>
      </c>
      <c r="CB54" s="28"/>
      <c r="CC54" s="28"/>
      <c r="CD54" s="28"/>
      <c r="CE54" s="28"/>
      <c r="CF54" s="28"/>
      <c r="CG54" s="28"/>
    </row>
    <row r="55" spans="1:85" ht="15.75" customHeight="1" x14ac:dyDescent="0.2">
      <c r="A55" s="27" t="b">
        <v>1</v>
      </c>
      <c r="B55" s="31" t="s">
        <v>1427</v>
      </c>
      <c r="C55" s="69" t="s">
        <v>1157</v>
      </c>
      <c r="D55" s="27" t="s">
        <v>117</v>
      </c>
      <c r="E55" s="70" t="s">
        <v>1428</v>
      </c>
      <c r="F55" s="27" t="s">
        <v>1429</v>
      </c>
      <c r="G55" s="27" t="str">
        <f t="shared" si="0"/>
        <v>NGUYỄN THÁI TRINH_w256.webp</v>
      </c>
      <c r="H55" s="27" t="s">
        <v>833</v>
      </c>
      <c r="I55" s="70" t="s">
        <v>1430</v>
      </c>
      <c r="J55" s="55" t="s">
        <v>1431</v>
      </c>
      <c r="K55" s="45" t="s">
        <v>1432</v>
      </c>
      <c r="L55" s="35" t="s">
        <v>1433</v>
      </c>
      <c r="M55" s="46" t="s">
        <v>1434</v>
      </c>
      <c r="N55" s="35" t="s">
        <v>1435</v>
      </c>
      <c r="O55" s="28"/>
      <c r="P55" s="28"/>
      <c r="Q55" s="36" t="s">
        <v>1436</v>
      </c>
      <c r="R55" s="36" t="s">
        <v>1437</v>
      </c>
      <c r="S55" s="36" t="s">
        <v>1436</v>
      </c>
      <c r="T55" s="36" t="s">
        <v>1438</v>
      </c>
      <c r="U55" s="36" t="s">
        <v>1438</v>
      </c>
      <c r="V55" s="36"/>
      <c r="W55" s="47">
        <f t="shared" ref="W55:W56" si="31">Y55</f>
        <v>0</v>
      </c>
      <c r="X55" s="35" t="s">
        <v>1439</v>
      </c>
      <c r="Y55" s="28"/>
      <c r="Z55" s="28"/>
      <c r="AA55" s="28"/>
      <c r="AB55" s="35"/>
      <c r="AC55" s="43" t="s">
        <v>1440</v>
      </c>
      <c r="AD55" s="27" t="s">
        <v>1441</v>
      </c>
      <c r="AE55" s="27" t="s">
        <v>1442</v>
      </c>
      <c r="AF55" s="27" t="s">
        <v>1443</v>
      </c>
      <c r="AG55" s="27" t="s">
        <v>1444</v>
      </c>
      <c r="AH55" s="27" t="s">
        <v>1445</v>
      </c>
      <c r="AI55" s="27" t="s">
        <v>1446</v>
      </c>
      <c r="AJ55" s="46" t="s">
        <v>1447</v>
      </c>
      <c r="AK55" s="41"/>
      <c r="AL55" s="41"/>
      <c r="AM55" s="27" t="s">
        <v>1448</v>
      </c>
      <c r="AN55" s="27"/>
      <c r="AO55" s="27" t="s">
        <v>1449</v>
      </c>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36"/>
      <c r="BT55" s="27" t="s">
        <v>173</v>
      </c>
      <c r="BU55" s="42" t="s">
        <v>151</v>
      </c>
      <c r="BV55" s="28" t="e">
        <f t="shared" ca="1" si="2"/>
        <v>#NAME?</v>
      </c>
      <c r="BW55" s="28"/>
      <c r="BX55" s="26" t="str">
        <f t="shared" si="30"/>
        <v>cropped-file-tach-nen-2-web-3.png</v>
      </c>
      <c r="BY55" s="28" t="s">
        <v>1450</v>
      </c>
      <c r="BZ55" s="27" t="s">
        <v>1451</v>
      </c>
      <c r="CA55" s="35" t="s">
        <v>1433</v>
      </c>
      <c r="CB55" s="28"/>
      <c r="CC55" s="28"/>
      <c r="CD55" s="28"/>
      <c r="CE55" s="28"/>
      <c r="CF55" s="28"/>
      <c r="CG55" s="28"/>
    </row>
    <row r="56" spans="1:85" ht="15.75" customHeight="1" x14ac:dyDescent="0.2">
      <c r="A56" s="27" t="b">
        <v>1</v>
      </c>
      <c r="B56" s="31" t="s">
        <v>1452</v>
      </c>
      <c r="C56" s="50" t="s">
        <v>1182</v>
      </c>
      <c r="D56" s="27" t="s">
        <v>117</v>
      </c>
      <c r="E56" s="51" t="s">
        <v>1453</v>
      </c>
      <c r="F56" s="27" t="s">
        <v>1454</v>
      </c>
      <c r="G56" s="27" t="str">
        <f t="shared" si="0"/>
        <v>A043_TRƯƠNG_MINH_NHẬT-removebg-preview_w256.webp</v>
      </c>
      <c r="H56" s="27" t="s">
        <v>833</v>
      </c>
      <c r="I56" s="51" t="s">
        <v>1455</v>
      </c>
      <c r="J56" s="52" t="s">
        <v>1456</v>
      </c>
      <c r="K56" s="34" t="s">
        <v>1457</v>
      </c>
      <c r="L56" s="26" t="s">
        <v>1458</v>
      </c>
      <c r="M56" s="53" t="s">
        <v>1459</v>
      </c>
      <c r="N56" s="54" t="e">
        <f t="shared" ref="N56:N76" ca="1" si="32">p_GMapLink(M56)</f>
        <v>#NAME?</v>
      </c>
      <c r="O56" s="28"/>
      <c r="P56" s="28"/>
      <c r="Q56" s="36" t="s">
        <v>1460</v>
      </c>
      <c r="R56" s="36" t="s">
        <v>1461</v>
      </c>
      <c r="S56" s="36" t="s">
        <v>1460</v>
      </c>
      <c r="T56" s="36" t="s">
        <v>1462</v>
      </c>
      <c r="U56" s="36" t="s">
        <v>1462</v>
      </c>
      <c r="V56" s="36"/>
      <c r="W56" s="37" t="str">
        <f t="shared" si="31"/>
        <v>https://www.facebook.com/people/S365-Technical-Trading-Co-LTD/100033229032687</v>
      </c>
      <c r="X56" s="35" t="s">
        <v>1463</v>
      </c>
      <c r="Y56" s="57" t="s">
        <v>1464</v>
      </c>
      <c r="Z56" s="28"/>
      <c r="AA56" s="28"/>
      <c r="AB56" s="35"/>
      <c r="AC56" s="40" t="s">
        <v>1465</v>
      </c>
      <c r="AD56" s="19" t="s">
        <v>1466</v>
      </c>
      <c r="AE56" s="19" t="s">
        <v>1467</v>
      </c>
      <c r="AF56" s="19" t="s">
        <v>1468</v>
      </c>
      <c r="AG56" s="19" t="s">
        <v>1469</v>
      </c>
      <c r="AH56" s="19" t="s">
        <v>1470</v>
      </c>
      <c r="AI56" s="19" t="s">
        <v>1471</v>
      </c>
      <c r="AJ56" s="19" t="s">
        <v>1177</v>
      </c>
      <c r="AK56" s="41"/>
      <c r="AL56" s="41"/>
      <c r="AM56" s="19" t="s">
        <v>1472</v>
      </c>
      <c r="AN56" s="27"/>
      <c r="AO56" s="26" t="s">
        <v>1473</v>
      </c>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36"/>
      <c r="BT56" s="27" t="s">
        <v>173</v>
      </c>
      <c r="BU56" s="42" t="s">
        <v>151</v>
      </c>
      <c r="BV56" s="28" t="e">
        <f t="shared" ca="1" si="2"/>
        <v>#NAME?</v>
      </c>
      <c r="BW56" s="28"/>
      <c r="BX56" s="26" t="str">
        <f t="shared" si="30"/>
        <v>Screenshot 2026-03-18 161225.png</v>
      </c>
      <c r="BY56" s="28" t="s">
        <v>1474</v>
      </c>
      <c r="BZ56" s="26" t="s">
        <v>1475</v>
      </c>
      <c r="CA56" s="26" t="s">
        <v>1458</v>
      </c>
      <c r="CB56" s="28"/>
      <c r="CC56" s="28"/>
      <c r="CD56" s="28"/>
      <c r="CE56" s="28"/>
      <c r="CF56" s="28"/>
      <c r="CG56" s="28"/>
    </row>
    <row r="57" spans="1:85" ht="15.75" customHeight="1" x14ac:dyDescent="0.2">
      <c r="A57" s="27" t="b">
        <v>1</v>
      </c>
      <c r="B57" s="31" t="s">
        <v>1476</v>
      </c>
      <c r="C57" s="69" t="s">
        <v>1207</v>
      </c>
      <c r="D57" s="27" t="s">
        <v>117</v>
      </c>
      <c r="E57" s="70" t="s">
        <v>1477</v>
      </c>
      <c r="F57" s="27" t="s">
        <v>1478</v>
      </c>
      <c r="G57" s="27" t="str">
        <f t="shared" si="0"/>
        <v>A044_DƯƠNG_NHƯ_THI-removebg-preview_w256.webp</v>
      </c>
      <c r="H57" s="27" t="s">
        <v>833</v>
      </c>
      <c r="I57" s="55" t="s">
        <v>1479</v>
      </c>
      <c r="J57" s="55" t="s">
        <v>1480</v>
      </c>
      <c r="K57" s="45" t="s">
        <v>1481</v>
      </c>
      <c r="L57" s="26" t="s">
        <v>1482</v>
      </c>
      <c r="M57" s="53" t="s">
        <v>1483</v>
      </c>
      <c r="N57" s="54" t="e">
        <f t="shared" ca="1" si="32"/>
        <v>#NAME?</v>
      </c>
      <c r="O57" s="28"/>
      <c r="P57" s="28"/>
      <c r="Q57" s="36" t="s">
        <v>1484</v>
      </c>
      <c r="R57" s="36" t="s">
        <v>1485</v>
      </c>
      <c r="S57" s="36" t="s">
        <v>1484</v>
      </c>
      <c r="T57" s="36" t="s">
        <v>1486</v>
      </c>
      <c r="U57" s="36" t="s">
        <v>1486</v>
      </c>
      <c r="V57" s="36"/>
      <c r="W57" s="47"/>
      <c r="X57" s="38" t="s">
        <v>1487</v>
      </c>
      <c r="Y57" s="28"/>
      <c r="Z57" s="28"/>
      <c r="AA57" s="28"/>
      <c r="AB57" s="35"/>
      <c r="AC57" s="71" t="s">
        <v>1488</v>
      </c>
      <c r="AD57" s="19" t="s">
        <v>1489</v>
      </c>
      <c r="AE57" s="19" t="s">
        <v>1490</v>
      </c>
      <c r="AF57" s="19" t="s">
        <v>1491</v>
      </c>
      <c r="AG57" s="19" t="s">
        <v>1492</v>
      </c>
      <c r="AH57" s="19" t="s">
        <v>1493</v>
      </c>
      <c r="AI57" s="19" t="s">
        <v>1494</v>
      </c>
      <c r="AJ57" s="19" t="s">
        <v>1495</v>
      </c>
      <c r="AK57" s="41"/>
      <c r="AL57" s="41"/>
      <c r="AM57" s="26" t="s">
        <v>1496</v>
      </c>
      <c r="AN57" s="27"/>
      <c r="AO57" s="26" t="s">
        <v>1497</v>
      </c>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36"/>
      <c r="BT57" s="27" t="s">
        <v>173</v>
      </c>
      <c r="BU57" s="42" t="s">
        <v>151</v>
      </c>
      <c r="BV57" s="28" t="e">
        <f t="shared" ca="1" si="2"/>
        <v>#NAME?</v>
      </c>
      <c r="BW57" s="28"/>
      <c r="BX57" s="26" t="str">
        <f t="shared" si="30"/>
        <v>Screenshot 2026-03-18 163941.png</v>
      </c>
      <c r="BY57" s="28" t="s">
        <v>1498</v>
      </c>
      <c r="BZ57" s="26" t="s">
        <v>1499</v>
      </c>
      <c r="CA57" s="26" t="s">
        <v>1482</v>
      </c>
      <c r="CB57" s="28"/>
      <c r="CC57" s="28"/>
      <c r="CD57" s="28"/>
      <c r="CE57" s="28"/>
      <c r="CF57" s="28"/>
      <c r="CG57" s="28"/>
    </row>
    <row r="58" spans="1:85" ht="15.75" customHeight="1" x14ac:dyDescent="0.2">
      <c r="A58" s="27" t="b">
        <v>1</v>
      </c>
      <c r="B58" s="31" t="s">
        <v>1500</v>
      </c>
      <c r="C58" s="50" t="s">
        <v>1252</v>
      </c>
      <c r="D58" s="27" t="s">
        <v>117</v>
      </c>
      <c r="E58" s="51" t="s">
        <v>1501</v>
      </c>
      <c r="F58" s="27" t="s">
        <v>1502</v>
      </c>
      <c r="G58" s="27" t="str">
        <f t="shared" si="0"/>
        <v>A046_NGUYỄN THÀNH VINH_w256.webp</v>
      </c>
      <c r="H58" s="27" t="s">
        <v>833</v>
      </c>
      <c r="I58" s="51" t="str">
        <f>UPPER("Công ty TNHH kỹ thuật cơ điện lạnh Vinh Đạt")</f>
        <v>CÔNG TY TNHH KỸ THUẬT CƠ ĐIỆN LẠNH VINH ĐẠT</v>
      </c>
      <c r="J58" s="52" t="s">
        <v>1503</v>
      </c>
      <c r="K58" s="34"/>
      <c r="L58" s="26" t="s">
        <v>1504</v>
      </c>
      <c r="M58" s="53" t="s">
        <v>1505</v>
      </c>
      <c r="N58" s="54" t="e">
        <f t="shared" ca="1" si="32"/>
        <v>#NAME?</v>
      </c>
      <c r="O58" s="28"/>
      <c r="P58" s="28"/>
      <c r="Q58" s="36" t="s">
        <v>1506</v>
      </c>
      <c r="R58" s="112" t="s">
        <v>1507</v>
      </c>
      <c r="S58" s="36" t="s">
        <v>1506</v>
      </c>
      <c r="T58" s="36" t="s">
        <v>1508</v>
      </c>
      <c r="U58" s="36" t="s">
        <v>1508</v>
      </c>
      <c r="V58" s="36"/>
      <c r="W58" s="47"/>
      <c r="X58" s="98" t="s">
        <v>1509</v>
      </c>
      <c r="Y58" s="28"/>
      <c r="Z58" s="28"/>
      <c r="AA58" s="28"/>
      <c r="AB58" s="35"/>
      <c r="AC58" s="40" t="s">
        <v>1510</v>
      </c>
      <c r="AD58" s="19" t="s">
        <v>1511</v>
      </c>
      <c r="AE58" s="19" t="s">
        <v>1512</v>
      </c>
      <c r="AF58" s="19" t="s">
        <v>1513</v>
      </c>
      <c r="AG58" s="19" t="s">
        <v>1514</v>
      </c>
      <c r="AH58" s="19" t="s">
        <v>1515</v>
      </c>
      <c r="AI58" s="19" t="s">
        <v>1516</v>
      </c>
      <c r="AJ58" s="19" t="s">
        <v>1517</v>
      </c>
      <c r="AK58" s="41"/>
      <c r="AL58" s="41"/>
      <c r="AM58" s="28"/>
      <c r="AN58" s="27"/>
      <c r="AO58" s="26" t="s">
        <v>1518</v>
      </c>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36"/>
      <c r="BT58" s="27" t="s">
        <v>173</v>
      </c>
      <c r="BU58" s="42" t="s">
        <v>151</v>
      </c>
      <c r="BV58" s="28" t="e">
        <f t="shared" ca="1" si="2"/>
        <v>#NAME?</v>
      </c>
      <c r="BW58" s="28"/>
      <c r="BX58" s="26" t="str">
        <f t="shared" si="30"/>
        <v>Screenshot 2026-03-18 165228.png</v>
      </c>
      <c r="BY58" s="28" t="s">
        <v>1519</v>
      </c>
      <c r="BZ58" s="26" t="s">
        <v>1520</v>
      </c>
      <c r="CA58" s="26" t="s">
        <v>1504</v>
      </c>
      <c r="CB58" s="28"/>
      <c r="CC58" s="28"/>
      <c r="CD58" s="28"/>
      <c r="CE58" s="28"/>
      <c r="CF58" s="28"/>
      <c r="CG58" s="28"/>
    </row>
    <row r="59" spans="1:85" ht="15.75" customHeight="1" x14ac:dyDescent="0.2">
      <c r="A59" s="27" t="b">
        <v>1</v>
      </c>
      <c r="B59" s="31" t="s">
        <v>565</v>
      </c>
      <c r="C59" s="69" t="s">
        <v>1301</v>
      </c>
      <c r="D59" s="27" t="s">
        <v>117</v>
      </c>
      <c r="E59" s="70" t="s">
        <v>1521</v>
      </c>
      <c r="F59" s="27" t="s">
        <v>1522</v>
      </c>
      <c r="G59" s="27" t="str">
        <f t="shared" si="0"/>
        <v>1_w256.webp</v>
      </c>
      <c r="H59" s="26" t="s">
        <v>1523</v>
      </c>
      <c r="I59" s="55" t="s">
        <v>1524</v>
      </c>
      <c r="J59" s="55" t="s">
        <v>1525</v>
      </c>
      <c r="K59" s="45"/>
      <c r="L59" s="38" t="s">
        <v>1526</v>
      </c>
      <c r="M59" s="53" t="s">
        <v>1527</v>
      </c>
      <c r="N59" s="54" t="e">
        <f t="shared" ca="1" si="32"/>
        <v>#NAME?</v>
      </c>
      <c r="O59" s="26" t="s">
        <v>1528</v>
      </c>
      <c r="P59" s="28"/>
      <c r="Q59" s="36" t="s">
        <v>1529</v>
      </c>
      <c r="R59" s="36" t="s">
        <v>1530</v>
      </c>
      <c r="S59" s="36" t="s">
        <v>1529</v>
      </c>
      <c r="T59" s="36" t="s">
        <v>1531</v>
      </c>
      <c r="U59" s="36" t="s">
        <v>1531</v>
      </c>
      <c r="V59" s="36"/>
      <c r="W59" s="37" t="str">
        <f t="shared" ref="W59:W60" si="33">Y59</f>
        <v>https://fb.com/toanthanhphatcons</v>
      </c>
      <c r="X59" s="38" t="s">
        <v>1532</v>
      </c>
      <c r="Y59" s="57" t="s">
        <v>1533</v>
      </c>
      <c r="Z59" s="28"/>
      <c r="AA59" s="28"/>
      <c r="AB59" s="35"/>
      <c r="AC59" s="71" t="s">
        <v>1534</v>
      </c>
      <c r="AD59" s="19" t="s">
        <v>1535</v>
      </c>
      <c r="AE59" s="19" t="s">
        <v>1536</v>
      </c>
      <c r="AF59" s="19" t="s">
        <v>1537</v>
      </c>
      <c r="AG59" s="19" t="s">
        <v>1200</v>
      </c>
      <c r="AH59" s="19" t="s">
        <v>1538</v>
      </c>
      <c r="AI59" s="19" t="s">
        <v>1539</v>
      </c>
      <c r="AJ59" s="19" t="s">
        <v>1540</v>
      </c>
      <c r="AK59" s="41"/>
      <c r="AL59" s="41"/>
      <c r="AM59" s="26" t="s">
        <v>1541</v>
      </c>
      <c r="AN59" s="18"/>
      <c r="AO59" s="26" t="s">
        <v>1542</v>
      </c>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36"/>
      <c r="BT59" s="27" t="s">
        <v>173</v>
      </c>
      <c r="BU59" s="42" t="s">
        <v>151</v>
      </c>
      <c r="BV59" s="28" t="e">
        <f t="shared" ca="1" si="2"/>
        <v>#NAME?</v>
      </c>
      <c r="BW59" s="28"/>
      <c r="BX59" s="57" t="str">
        <f t="shared" si="30"/>
        <v>logo02-6709.png</v>
      </c>
      <c r="BY59" s="28" t="s">
        <v>1543</v>
      </c>
      <c r="BZ59" s="26" t="s">
        <v>286</v>
      </c>
      <c r="CA59" s="38" t="s">
        <v>1526</v>
      </c>
      <c r="CB59" s="28"/>
      <c r="CC59" s="28"/>
      <c r="CD59" s="28"/>
      <c r="CE59" s="28"/>
      <c r="CF59" s="28"/>
      <c r="CG59" s="28"/>
    </row>
    <row r="60" spans="1:85" ht="15.75" customHeight="1" x14ac:dyDescent="0.2">
      <c r="A60" s="30" t="b">
        <v>1</v>
      </c>
      <c r="B60" s="31" t="s">
        <v>1544</v>
      </c>
      <c r="C60" s="50" t="s">
        <v>1323</v>
      </c>
      <c r="D60" s="27" t="s">
        <v>409</v>
      </c>
      <c r="E60" s="113" t="s">
        <v>1545</v>
      </c>
      <c r="F60" s="27" t="s">
        <v>1546</v>
      </c>
      <c r="G60" s="27" t="str">
        <f t="shared" si="0"/>
        <v>image_8_w256.webp</v>
      </c>
      <c r="H60" s="27" t="s">
        <v>833</v>
      </c>
      <c r="I60" s="52" t="s">
        <v>1547</v>
      </c>
      <c r="J60" s="52" t="s">
        <v>1548</v>
      </c>
      <c r="K60" s="80" t="s">
        <v>1549</v>
      </c>
      <c r="L60" s="26" t="s">
        <v>1550</v>
      </c>
      <c r="M60" s="53" t="s">
        <v>1551</v>
      </c>
      <c r="N60" s="54" t="e">
        <f t="shared" ca="1" si="32"/>
        <v>#NAME?</v>
      </c>
      <c r="O60" s="28"/>
      <c r="P60" s="28"/>
      <c r="Q60" s="84" t="s">
        <v>1552</v>
      </c>
      <c r="R60" s="78" t="s">
        <v>1553</v>
      </c>
      <c r="S60" s="36" t="str">
        <f>Q60</f>
        <v>0369602502</v>
      </c>
      <c r="T60" s="36" t="str">
        <f>"84"&amp;IF(LEN(Q60)=10, RIGHT(Q60,9), Q60)</f>
        <v>84369602502</v>
      </c>
      <c r="U60" s="36" t="str">
        <f>"84"&amp;IF(LEN(Q60)=10, RIGHT(Q60,9), Q60)</f>
        <v>84369602502</v>
      </c>
      <c r="V60" s="36"/>
      <c r="W60" s="37" t="str">
        <f t="shared" si="33"/>
        <v>https://www.facebook.com/thucphamsachthienbao</v>
      </c>
      <c r="X60" s="38" t="s">
        <v>1554</v>
      </c>
      <c r="Y60" s="57" t="s">
        <v>1555</v>
      </c>
      <c r="Z60" s="28"/>
      <c r="AA60" s="97" t="s">
        <v>132</v>
      </c>
      <c r="AB60" s="35"/>
      <c r="AC60" s="40" t="s">
        <v>1556</v>
      </c>
      <c r="AD60" s="19" t="s">
        <v>1557</v>
      </c>
      <c r="AE60" s="19" t="s">
        <v>1558</v>
      </c>
      <c r="AF60" s="19" t="s">
        <v>1559</v>
      </c>
      <c r="AG60" s="19" t="s">
        <v>1560</v>
      </c>
      <c r="AH60" s="19" t="s">
        <v>1561</v>
      </c>
      <c r="AI60" s="19" t="s">
        <v>1562</v>
      </c>
      <c r="AJ60" s="19" t="s">
        <v>1563</v>
      </c>
      <c r="AK60" s="41"/>
      <c r="AL60" s="41"/>
      <c r="AM60" s="28" t="s">
        <v>1564</v>
      </c>
      <c r="AN60" s="27"/>
      <c r="AO60" s="26" t="s">
        <v>1565</v>
      </c>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6" t="s">
        <v>150</v>
      </c>
      <c r="BU60" s="42" t="s">
        <v>151</v>
      </c>
      <c r="BV60" s="28" t="e">
        <f t="shared" ca="1" si="2"/>
        <v>#NAME?</v>
      </c>
      <c r="BW60" s="28"/>
      <c r="BX60" s="26" t="str">
        <f t="shared" si="30"/>
        <v>Screenshot 2026-03-18 155507.png</v>
      </c>
      <c r="BY60" s="28" t="s">
        <v>1566</v>
      </c>
      <c r="BZ60" s="26" t="s">
        <v>1567</v>
      </c>
      <c r="CA60" s="26" t="s">
        <v>1550</v>
      </c>
      <c r="CB60" s="28"/>
      <c r="CC60" s="28"/>
      <c r="CD60" s="28"/>
      <c r="CE60" s="28"/>
      <c r="CF60" s="28"/>
      <c r="CG60" s="28"/>
    </row>
    <row r="61" spans="1:85" ht="15.75" customHeight="1" x14ac:dyDescent="0.2">
      <c r="A61" s="27" t="b">
        <v>1</v>
      </c>
      <c r="B61" s="31" t="s">
        <v>1568</v>
      </c>
      <c r="C61" s="69" t="s">
        <v>1348</v>
      </c>
      <c r="D61" s="27" t="s">
        <v>117</v>
      </c>
      <c r="E61" s="70" t="s">
        <v>1569</v>
      </c>
      <c r="F61" s="27" t="s">
        <v>1570</v>
      </c>
      <c r="G61" s="27" t="str">
        <f t="shared" si="0"/>
        <v>1641612647258_w256.webp</v>
      </c>
      <c r="H61" s="26" t="s">
        <v>1304</v>
      </c>
      <c r="I61" s="55" t="s">
        <v>1571</v>
      </c>
      <c r="J61" s="55" t="s">
        <v>1572</v>
      </c>
      <c r="K61" s="45" t="s">
        <v>1573</v>
      </c>
      <c r="L61" s="38" t="s">
        <v>1574</v>
      </c>
      <c r="M61" s="53" t="s">
        <v>1575</v>
      </c>
      <c r="N61" s="54" t="e">
        <f t="shared" ca="1" si="32"/>
        <v>#NAME?</v>
      </c>
      <c r="O61" s="28"/>
      <c r="P61" s="28"/>
      <c r="Q61" s="36" t="s">
        <v>1576</v>
      </c>
      <c r="R61" s="36" t="s">
        <v>1577</v>
      </c>
      <c r="S61" s="36">
        <v>904189357</v>
      </c>
      <c r="T61" s="36" t="s">
        <v>1578</v>
      </c>
      <c r="U61" s="36" t="s">
        <v>1578</v>
      </c>
      <c r="V61" s="36"/>
      <c r="W61" s="47"/>
      <c r="X61" s="38" t="s">
        <v>1579</v>
      </c>
      <c r="Y61" s="28"/>
      <c r="Z61" s="28"/>
      <c r="AA61" s="28"/>
      <c r="AB61" s="35"/>
      <c r="AC61" s="71" t="s">
        <v>1580</v>
      </c>
      <c r="AD61" s="19" t="s">
        <v>1581</v>
      </c>
      <c r="AE61" s="19" t="s">
        <v>1582</v>
      </c>
      <c r="AF61" s="19" t="s">
        <v>1583</v>
      </c>
      <c r="AG61" s="19" t="s">
        <v>1584</v>
      </c>
      <c r="AH61" s="19" t="s">
        <v>1585</v>
      </c>
      <c r="AI61" s="19" t="s">
        <v>1586</v>
      </c>
      <c r="AJ61" s="19" t="s">
        <v>1587</v>
      </c>
      <c r="AK61" s="41"/>
      <c r="AL61" s="41"/>
      <c r="AM61" s="28"/>
      <c r="AN61" s="27"/>
      <c r="AO61" s="26" t="s">
        <v>1588</v>
      </c>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7" t="s">
        <v>173</v>
      </c>
      <c r="BU61" s="42" t="s">
        <v>151</v>
      </c>
      <c r="BV61" s="28" t="e">
        <f t="shared" ca="1" si="2"/>
        <v>#NAME?</v>
      </c>
      <c r="BW61" s="28"/>
      <c r="BX61" s="57" t="str">
        <f t="shared" si="30"/>
        <v>Screenshot 2026-03-18 184942.png</v>
      </c>
      <c r="BY61" s="28" t="s">
        <v>1589</v>
      </c>
      <c r="BZ61" s="26" t="s">
        <v>1590</v>
      </c>
      <c r="CA61" s="38" t="s">
        <v>1574</v>
      </c>
      <c r="CB61" s="28"/>
      <c r="CC61" s="28"/>
      <c r="CD61" s="28"/>
      <c r="CE61" s="28"/>
      <c r="CF61" s="28"/>
      <c r="CG61" s="28"/>
    </row>
    <row r="62" spans="1:85" ht="15.75" customHeight="1" x14ac:dyDescent="0.2">
      <c r="A62" s="27" t="b">
        <v>1</v>
      </c>
      <c r="B62" s="32" t="s">
        <v>1591</v>
      </c>
      <c r="C62" s="50" t="s">
        <v>1363</v>
      </c>
      <c r="D62" s="27" t="s">
        <v>409</v>
      </c>
      <c r="E62" s="51" t="s">
        <v>1592</v>
      </c>
      <c r="F62" s="27" t="s">
        <v>1593</v>
      </c>
      <c r="G62" s="27" t="str">
        <f t="shared" si="0"/>
        <v>Hong_w256.webp</v>
      </c>
      <c r="H62" s="26" t="s">
        <v>1594</v>
      </c>
      <c r="I62" s="51" t="str">
        <f>UPPER("Công ty TNHH Bảo hiểm Nhân thọ FWD Việt Nam")</f>
        <v>CÔNG TY TNHH BẢO HIỂM NHÂN THỌ FWD VIỆT NAM</v>
      </c>
      <c r="J62" s="52" t="s">
        <v>1595</v>
      </c>
      <c r="K62" s="34"/>
      <c r="L62" s="26" t="s">
        <v>1188</v>
      </c>
      <c r="M62" s="53" t="s">
        <v>1596</v>
      </c>
      <c r="N62" s="54" t="e">
        <f t="shared" ca="1" si="32"/>
        <v>#NAME?</v>
      </c>
      <c r="O62" s="28"/>
      <c r="P62" s="28"/>
      <c r="Q62" s="78" t="e">
        <f>VLOOKUP(E62,#REF!, 7, FALSE)</f>
        <v>#REF!</v>
      </c>
      <c r="R62" s="36" t="e">
        <f>VLOOKUP(E62,#REF!, 8, FALSE)</f>
        <v>#REF!</v>
      </c>
      <c r="S62" s="36" t="e">
        <f>Q62</f>
        <v>#REF!</v>
      </c>
      <c r="T62" s="36" t="e">
        <f>"84"&amp;IF(LEN(Q62)=10, RIGHT(Q62,9), Q62)</f>
        <v>#REF!</v>
      </c>
      <c r="U62" s="36" t="e">
        <f>"84"&amp;IF(LEN(Q62)=10, RIGHT(Q62,9), Q62)</f>
        <v>#REF!</v>
      </c>
      <c r="V62" s="36"/>
      <c r="W62" s="37" t="e">
        <f t="shared" ref="W62:W63" si="34">Y62</f>
        <v>#REF!</v>
      </c>
      <c r="X62" s="38" t="s">
        <v>1597</v>
      </c>
      <c r="Y62" s="54" t="e">
        <f>VLOOKUP(E62,#REF!, 10, FALSE)</f>
        <v>#REF!</v>
      </c>
      <c r="Z62" s="28" t="e">
        <f>VLOOKUP(E62,#REF!, 11, FALSE)</f>
        <v>#REF!</v>
      </c>
      <c r="AA62" s="97" t="s">
        <v>132</v>
      </c>
      <c r="AB62" s="35" t="e">
        <f>VLOOKUP(E62,#REF!, 12, FALSE)</f>
        <v>#REF!</v>
      </c>
      <c r="AC62" s="40" t="s">
        <v>1598</v>
      </c>
      <c r="AD62" s="19" t="s">
        <v>1599</v>
      </c>
      <c r="AE62" s="19" t="s">
        <v>1600</v>
      </c>
      <c r="AF62" s="19" t="s">
        <v>1601</v>
      </c>
      <c r="AG62" s="19" t="s">
        <v>1602</v>
      </c>
      <c r="AH62" s="19" t="s">
        <v>1603</v>
      </c>
      <c r="AI62" s="28"/>
      <c r="AJ62" s="41"/>
      <c r="AK62" s="41"/>
      <c r="AL62" s="41"/>
      <c r="AM62" s="28" t="str">
        <f>UPPER("Hân hoan vui sống")</f>
        <v>HÂN HOAN VUI SỐNG</v>
      </c>
      <c r="AN62" s="27"/>
      <c r="AO62" s="26" t="s">
        <v>1604</v>
      </c>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6" t="s">
        <v>150</v>
      </c>
      <c r="BU62" s="42" t="s">
        <v>151</v>
      </c>
      <c r="BV62" s="28" t="e">
        <f t="shared" ca="1" si="2"/>
        <v>#NAME?</v>
      </c>
      <c r="BW62" s="28"/>
      <c r="BX62" s="26" t="str">
        <f t="shared" si="30"/>
        <v>images.png</v>
      </c>
      <c r="BY62" s="28" t="s">
        <v>1205</v>
      </c>
      <c r="BZ62" s="38" t="s">
        <v>1605</v>
      </c>
      <c r="CA62" s="26" t="s">
        <v>1188</v>
      </c>
      <c r="CB62" s="28"/>
      <c r="CC62" s="28"/>
      <c r="CD62" s="28"/>
      <c r="CE62" s="28"/>
      <c r="CF62" s="28"/>
      <c r="CG62" s="28"/>
    </row>
    <row r="63" spans="1:85" ht="15.75" customHeight="1" x14ac:dyDescent="0.2">
      <c r="A63" s="27" t="b">
        <v>1</v>
      </c>
      <c r="B63" s="32" t="s">
        <v>1606</v>
      </c>
      <c r="C63" s="69" t="s">
        <v>1389</v>
      </c>
      <c r="D63" s="27" t="s">
        <v>117</v>
      </c>
      <c r="E63" s="70" t="s">
        <v>1607</v>
      </c>
      <c r="F63" s="27" t="s">
        <v>1522</v>
      </c>
      <c r="G63" s="27" t="str">
        <f t="shared" si="0"/>
        <v>1_w256.webp</v>
      </c>
      <c r="H63" s="27" t="s">
        <v>1608</v>
      </c>
      <c r="I63" s="70" t="s">
        <v>1609</v>
      </c>
      <c r="J63" s="55" t="s">
        <v>1610</v>
      </c>
      <c r="K63" s="45" t="s">
        <v>1611</v>
      </c>
      <c r="L63" s="38" t="s">
        <v>1612</v>
      </c>
      <c r="M63" s="46" t="s">
        <v>1613</v>
      </c>
      <c r="N63" s="54" t="e">
        <f t="shared" ca="1" si="32"/>
        <v>#NAME?</v>
      </c>
      <c r="O63" s="28"/>
      <c r="P63" s="28"/>
      <c r="Q63" s="36" t="s">
        <v>1614</v>
      </c>
      <c r="R63" s="36" t="s">
        <v>1615</v>
      </c>
      <c r="S63" s="36" t="s">
        <v>1614</v>
      </c>
      <c r="T63" s="36" t="s">
        <v>1616</v>
      </c>
      <c r="U63" s="36" t="s">
        <v>1616</v>
      </c>
      <c r="V63" s="36"/>
      <c r="W63" s="47">
        <f t="shared" si="34"/>
        <v>0</v>
      </c>
      <c r="X63" s="35" t="s">
        <v>1617</v>
      </c>
      <c r="Y63" s="28"/>
      <c r="Z63" s="28"/>
      <c r="AA63" s="97" t="s">
        <v>132</v>
      </c>
      <c r="AB63" s="35" t="s">
        <v>1618</v>
      </c>
      <c r="AC63" s="71" t="s">
        <v>1619</v>
      </c>
      <c r="AD63" s="19" t="s">
        <v>1620</v>
      </c>
      <c r="AE63" s="19" t="s">
        <v>1621</v>
      </c>
      <c r="AF63" s="19" t="s">
        <v>1622</v>
      </c>
      <c r="AG63" s="19" t="s">
        <v>1623</v>
      </c>
      <c r="AH63" s="19" t="s">
        <v>1624</v>
      </c>
      <c r="AI63" s="19" t="s">
        <v>1625</v>
      </c>
      <c r="AJ63" s="19" t="s">
        <v>1626</v>
      </c>
      <c r="AK63" s="41"/>
      <c r="AL63" s="41"/>
      <c r="AM63" s="19" t="s">
        <v>1627</v>
      </c>
      <c r="AN63" s="27" t="s">
        <v>1628</v>
      </c>
      <c r="AO63" s="38" t="s">
        <v>1629</v>
      </c>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36"/>
      <c r="BT63" s="26" t="s">
        <v>150</v>
      </c>
      <c r="BU63" s="42" t="s">
        <v>151</v>
      </c>
      <c r="BV63" s="28" t="e">
        <f t="shared" ca="1" si="2"/>
        <v>#NAME?</v>
      </c>
      <c r="BW63" s="28"/>
      <c r="BX63" s="57" t="str">
        <f t="shared" si="30"/>
        <v>h_logo-3113.png</v>
      </c>
      <c r="BY63" s="28" t="s">
        <v>1630</v>
      </c>
      <c r="BZ63" s="26" t="s">
        <v>286</v>
      </c>
      <c r="CA63" s="38" t="s">
        <v>1612</v>
      </c>
      <c r="CB63" s="28"/>
      <c r="CC63" s="28"/>
      <c r="CD63" s="28"/>
      <c r="CE63" s="28"/>
      <c r="CF63" s="28"/>
      <c r="CG63" s="28"/>
    </row>
    <row r="64" spans="1:85" ht="15.75" customHeight="1" x14ac:dyDescent="0.2">
      <c r="A64" s="27" t="b">
        <v>1</v>
      </c>
      <c r="B64" s="32" t="s">
        <v>1631</v>
      </c>
      <c r="C64" s="50" t="s">
        <v>1427</v>
      </c>
      <c r="D64" s="27" t="s">
        <v>117</v>
      </c>
      <c r="E64" s="51" t="s">
        <v>1632</v>
      </c>
      <c r="F64" s="27" t="s">
        <v>1633</v>
      </c>
      <c r="G64" s="27" t="str">
        <f t="shared" si="0"/>
        <v>14792bb9-5d11-4498-a045-3cd51220e928_w256.webp</v>
      </c>
      <c r="H64" s="27" t="s">
        <v>833</v>
      </c>
      <c r="I64" s="51" t="s">
        <v>1634</v>
      </c>
      <c r="J64" s="52" t="s">
        <v>1635</v>
      </c>
      <c r="K64" s="34" t="s">
        <v>1636</v>
      </c>
      <c r="L64" s="26" t="s">
        <v>1637</v>
      </c>
      <c r="M64" s="53" t="s">
        <v>1638</v>
      </c>
      <c r="N64" s="54" t="e">
        <f t="shared" ca="1" si="32"/>
        <v>#NAME?</v>
      </c>
      <c r="O64" s="28"/>
      <c r="P64" s="28"/>
      <c r="Q64" s="36" t="s">
        <v>1639</v>
      </c>
      <c r="R64" s="36" t="s">
        <v>1640</v>
      </c>
      <c r="S64" s="36" t="s">
        <v>1639</v>
      </c>
      <c r="T64" s="36" t="s">
        <v>1641</v>
      </c>
      <c r="U64" s="36" t="s">
        <v>1641</v>
      </c>
      <c r="V64" s="36"/>
      <c r="W64" s="47"/>
      <c r="X64" s="38" t="s">
        <v>1642</v>
      </c>
      <c r="Y64" s="28"/>
      <c r="Z64" s="28"/>
      <c r="AA64" s="97" t="s">
        <v>132</v>
      </c>
      <c r="AB64" s="35"/>
      <c r="AC64" s="40" t="s">
        <v>1643</v>
      </c>
      <c r="AD64" s="19" t="s">
        <v>1644</v>
      </c>
      <c r="AE64" s="19" t="s">
        <v>1645</v>
      </c>
      <c r="AF64" s="19" t="s">
        <v>1646</v>
      </c>
      <c r="AG64" s="19" t="s">
        <v>1647</v>
      </c>
      <c r="AH64" s="19" t="s">
        <v>1648</v>
      </c>
      <c r="AI64" s="28"/>
      <c r="AJ64" s="41"/>
      <c r="AK64" s="41"/>
      <c r="AL64" s="41"/>
      <c r="AM64" s="28" t="str">
        <f>UPPER("Sạch chuẩn chuyên gia, An tâm mọi nhà")</f>
        <v>SẠCH CHUẨN CHUYÊN GIA, AN TÂM MỌI NHÀ</v>
      </c>
      <c r="AN64" s="27"/>
      <c r="AO64" s="26" t="s">
        <v>1649</v>
      </c>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36"/>
      <c r="BT64" s="26" t="s">
        <v>150</v>
      </c>
      <c r="BU64" s="42" t="s">
        <v>151</v>
      </c>
      <c r="BV64" s="28" t="e">
        <f t="shared" ca="1" si="2"/>
        <v>#NAME?</v>
      </c>
      <c r="BW64" s="28"/>
      <c r="BX64" s="26" t="str">
        <f t="shared" si="30"/>
        <v>b7b69f59-3604-4ac3-9a66-76ea7e88ef49.jpg</v>
      </c>
      <c r="BY64" s="28" t="s">
        <v>1650</v>
      </c>
      <c r="BZ64" s="26" t="s">
        <v>1651</v>
      </c>
      <c r="CA64" s="26" t="s">
        <v>1637</v>
      </c>
      <c r="CB64" s="28"/>
      <c r="CC64" s="28"/>
      <c r="CD64" s="28"/>
      <c r="CE64" s="28"/>
      <c r="CF64" s="28"/>
      <c r="CG64" s="28"/>
    </row>
    <row r="65" spans="1:85" ht="15.75" customHeight="1" x14ac:dyDescent="0.2">
      <c r="A65" s="27" t="b">
        <v>1</v>
      </c>
      <c r="B65" s="32" t="s">
        <v>1652</v>
      </c>
      <c r="C65" s="69" t="s">
        <v>1452</v>
      </c>
      <c r="D65" s="27" t="s">
        <v>409</v>
      </c>
      <c r="E65" s="70" t="s">
        <v>1653</v>
      </c>
      <c r="F65" s="27" t="s">
        <v>1654</v>
      </c>
      <c r="G65" s="27" t="str">
        <f t="shared" si="0"/>
        <v>70599cbf-ee97-4dcd-b212-39957f51af93_w256.webp</v>
      </c>
      <c r="H65" s="27" t="s">
        <v>1655</v>
      </c>
      <c r="I65" s="70" t="s">
        <v>1656</v>
      </c>
      <c r="J65" s="55" t="s">
        <v>1657</v>
      </c>
      <c r="K65" s="45" t="s">
        <v>1658</v>
      </c>
      <c r="L65" s="98" t="s">
        <v>1188</v>
      </c>
      <c r="M65" s="53" t="s">
        <v>1659</v>
      </c>
      <c r="N65" s="54" t="e">
        <f t="shared" ca="1" si="32"/>
        <v>#NAME?</v>
      </c>
      <c r="O65" s="28"/>
      <c r="P65" s="28"/>
      <c r="Q65" s="36" t="s">
        <v>1660</v>
      </c>
      <c r="R65" s="36" t="s">
        <v>1661</v>
      </c>
      <c r="S65" s="36" t="s">
        <v>1660</v>
      </c>
      <c r="T65" s="36" t="s">
        <v>1662</v>
      </c>
      <c r="U65" s="36" t="s">
        <v>1662</v>
      </c>
      <c r="V65" s="36"/>
      <c r="W65" s="47"/>
      <c r="X65" s="38" t="s">
        <v>1663</v>
      </c>
      <c r="Y65" s="28"/>
      <c r="Z65" s="28"/>
      <c r="AA65" s="97" t="s">
        <v>132</v>
      </c>
      <c r="AB65" s="35"/>
      <c r="AC65" s="71" t="s">
        <v>1664</v>
      </c>
      <c r="AD65" s="19" t="s">
        <v>1665</v>
      </c>
      <c r="AE65" s="19" t="s">
        <v>1666</v>
      </c>
      <c r="AF65" s="19" t="s">
        <v>1667</v>
      </c>
      <c r="AG65" s="19" t="s">
        <v>1668</v>
      </c>
      <c r="AH65" s="19" t="s">
        <v>1669</v>
      </c>
      <c r="AI65" s="19" t="s">
        <v>1670</v>
      </c>
      <c r="AJ65" s="19" t="s">
        <v>1671</v>
      </c>
      <c r="AK65" s="41"/>
      <c r="AL65" s="41"/>
      <c r="AM65" s="19" t="s">
        <v>1672</v>
      </c>
      <c r="AN65" s="27"/>
      <c r="AO65" s="26" t="s">
        <v>1673</v>
      </c>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36"/>
      <c r="BT65" s="26" t="s">
        <v>150</v>
      </c>
      <c r="BU65" s="42" t="s">
        <v>151</v>
      </c>
      <c r="BV65" s="28" t="e">
        <f t="shared" ca="1" si="2"/>
        <v>#NAME?</v>
      </c>
      <c r="BW65" s="28"/>
      <c r="BX65" s="26" t="str">
        <f t="shared" si="30"/>
        <v>images.png</v>
      </c>
      <c r="BY65" s="28" t="s">
        <v>1205</v>
      </c>
      <c r="BZ65" s="26" t="s">
        <v>1674</v>
      </c>
      <c r="CA65" s="98" t="s">
        <v>1188</v>
      </c>
      <c r="CB65" s="28"/>
      <c r="CC65" s="28"/>
      <c r="CD65" s="28"/>
      <c r="CE65" s="28"/>
      <c r="CF65" s="28"/>
      <c r="CG65" s="28"/>
    </row>
    <row r="66" spans="1:85" ht="15.75" customHeight="1" x14ac:dyDescent="0.2">
      <c r="A66" s="26" t="b">
        <v>1</v>
      </c>
      <c r="B66" s="74" t="s">
        <v>460</v>
      </c>
      <c r="C66" s="50" t="s">
        <v>1476</v>
      </c>
      <c r="D66" s="27" t="s">
        <v>409</v>
      </c>
      <c r="E66" s="51" t="s">
        <v>1675</v>
      </c>
      <c r="F66" s="26" t="s">
        <v>1676</v>
      </c>
      <c r="G66" s="27" t="str">
        <f t="shared" si="0"/>
        <v>NguyenSoHam.png</v>
      </c>
      <c r="H66" s="27" t="s">
        <v>833</v>
      </c>
      <c r="I66" s="51" t="s">
        <v>1677</v>
      </c>
      <c r="J66" s="33"/>
      <c r="K66" s="34" t="s">
        <v>1678</v>
      </c>
      <c r="L66" s="26" t="s">
        <v>1679</v>
      </c>
      <c r="M66" s="46" t="e">
        <f ca="1">p_LayTTDN_Full(K66, "dc")</f>
        <v>#NAME?</v>
      </c>
      <c r="N66" s="54" t="e">
        <f t="shared" ca="1" si="32"/>
        <v>#NAME?</v>
      </c>
      <c r="O66" s="28"/>
      <c r="P66" s="28"/>
      <c r="Q66" s="36" t="s">
        <v>1680</v>
      </c>
      <c r="R66" s="36" t="s">
        <v>1681</v>
      </c>
      <c r="S66" s="36" t="s">
        <v>1680</v>
      </c>
      <c r="T66" s="36" t="s">
        <v>1682</v>
      </c>
      <c r="U66" s="36" t="s">
        <v>1682</v>
      </c>
      <c r="V66" s="36"/>
      <c r="W66" s="47" t="e">
        <f>Y66</f>
        <v>#REF!</v>
      </c>
      <c r="X66" s="35" t="s">
        <v>1683</v>
      </c>
      <c r="Y66" s="28" t="e">
        <f>VLOOKUP(E66,#REF!, 10, FALSE)</f>
        <v>#REF!</v>
      </c>
      <c r="Z66" s="28" t="e">
        <f>VLOOKUP(E66,#REF!, 11, FALSE)</f>
        <v>#REF!</v>
      </c>
      <c r="AA66" s="28"/>
      <c r="AB66" s="35" t="e">
        <f>VLOOKUP(E66,#REF!, 12, FALSE)</f>
        <v>#REF!</v>
      </c>
      <c r="AC66" s="51" t="s">
        <v>1684</v>
      </c>
      <c r="AD66" s="111" t="e">
        <f>VLOOKUP(E66,#REF!, 3, FALSE)</f>
        <v>#REF!</v>
      </c>
      <c r="AE66" s="18"/>
      <c r="AF66" s="28"/>
      <c r="AG66" s="28"/>
      <c r="AH66" s="28"/>
      <c r="AI66" s="28"/>
      <c r="AJ66" s="41" t="e">
        <v>#N/A</v>
      </c>
      <c r="AK66" s="41" t="e">
        <v>#N/A</v>
      </c>
      <c r="AL66" s="41" t="e">
        <v>#N/A</v>
      </c>
      <c r="AM66" s="28"/>
      <c r="AN66" s="27"/>
      <c r="AO66" s="27" t="e">
        <v>#N/A</v>
      </c>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36"/>
      <c r="BT66" s="27" t="s">
        <v>173</v>
      </c>
      <c r="BU66" s="42" t="s">
        <v>1401</v>
      </c>
      <c r="BV66" s="28" t="e">
        <f t="shared" ca="1" si="2"/>
        <v>#NAME?</v>
      </c>
      <c r="BW66" s="28"/>
      <c r="BX66" s="26" t="str">
        <f t="shared" si="30"/>
        <v>nhakhoamaris.jpg</v>
      </c>
      <c r="BY66" s="28" t="s">
        <v>1685</v>
      </c>
      <c r="BZ66" s="27" t="e">
        <f>VLOOKUP(BX66,#REF!, 15, FALSE)</f>
        <v>#REF!</v>
      </c>
      <c r="CA66" s="26" t="s">
        <v>1679</v>
      </c>
      <c r="CB66" s="28"/>
      <c r="CC66" s="28"/>
      <c r="CD66" s="28"/>
      <c r="CE66" s="28"/>
      <c r="CF66" s="28"/>
      <c r="CG66" s="28"/>
    </row>
    <row r="67" spans="1:85" ht="15.75" customHeight="1" x14ac:dyDescent="0.2">
      <c r="A67" s="27" t="b">
        <v>1</v>
      </c>
      <c r="B67" s="32" t="s">
        <v>1686</v>
      </c>
      <c r="C67" s="69" t="s">
        <v>1500</v>
      </c>
      <c r="D67" s="27" t="s">
        <v>117</v>
      </c>
      <c r="E67" s="70" t="s">
        <v>1687</v>
      </c>
      <c r="F67" s="27" t="s">
        <v>1688</v>
      </c>
      <c r="G67" s="27" t="str">
        <f t="shared" si="0"/>
        <v>66_w256.webp</v>
      </c>
      <c r="H67" s="27" t="s">
        <v>1279</v>
      </c>
      <c r="I67" s="55" t="s">
        <v>1689</v>
      </c>
      <c r="J67" s="55" t="s">
        <v>1690</v>
      </c>
      <c r="K67" s="45" t="s">
        <v>1691</v>
      </c>
      <c r="L67" s="26" t="s">
        <v>1692</v>
      </c>
      <c r="M67" s="53" t="s">
        <v>1693</v>
      </c>
      <c r="N67" s="54" t="e">
        <f t="shared" ca="1" si="32"/>
        <v>#NAME?</v>
      </c>
      <c r="O67" s="28"/>
      <c r="P67" s="28"/>
      <c r="Q67" s="36" t="s">
        <v>1694</v>
      </c>
      <c r="R67" s="38" t="s">
        <v>1695</v>
      </c>
      <c r="S67" s="36" t="s">
        <v>1694</v>
      </c>
      <c r="T67" s="36" t="s">
        <v>1696</v>
      </c>
      <c r="U67" s="36" t="s">
        <v>1696</v>
      </c>
      <c r="V67" s="36"/>
      <c r="W67" s="47"/>
      <c r="X67" s="19" t="s">
        <v>1697</v>
      </c>
      <c r="Y67" s="18"/>
      <c r="Z67" s="28"/>
      <c r="AA67" s="28"/>
      <c r="AB67" s="35"/>
      <c r="AC67" s="71" t="s">
        <v>1698</v>
      </c>
      <c r="AD67" s="19" t="s">
        <v>1699</v>
      </c>
      <c r="AE67" s="19" t="s">
        <v>1700</v>
      </c>
      <c r="AF67" s="19" t="s">
        <v>1701</v>
      </c>
      <c r="AG67" s="19" t="s">
        <v>1702</v>
      </c>
      <c r="AH67" s="19" t="s">
        <v>1703</v>
      </c>
      <c r="AI67" s="28"/>
      <c r="AJ67" s="41"/>
      <c r="AK67" s="41"/>
      <c r="AL67" s="41"/>
      <c r="AM67" s="19" t="s">
        <v>1704</v>
      </c>
      <c r="AN67" s="27" t="s">
        <v>1705</v>
      </c>
      <c r="AO67" s="26" t="s">
        <v>1706</v>
      </c>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36"/>
      <c r="BT67" s="27" t="s">
        <v>173</v>
      </c>
      <c r="BU67" s="42" t="s">
        <v>151</v>
      </c>
      <c r="BV67" s="28" t="e">
        <f t="shared" ca="1" si="2"/>
        <v>#NAME?</v>
      </c>
      <c r="BW67" s="28"/>
      <c r="BX67" s="26" t="str">
        <f t="shared" si="30"/>
        <v>images.jpg</v>
      </c>
      <c r="BY67" s="28" t="s">
        <v>1205</v>
      </c>
      <c r="BZ67" s="26" t="s">
        <v>1707</v>
      </c>
      <c r="CA67" s="26" t="s">
        <v>1692</v>
      </c>
      <c r="CB67" s="28"/>
      <c r="CC67" s="28"/>
      <c r="CD67" s="28"/>
      <c r="CE67" s="28"/>
      <c r="CF67" s="28"/>
      <c r="CG67" s="28"/>
    </row>
    <row r="68" spans="1:85" ht="15.75" customHeight="1" x14ac:dyDescent="0.2">
      <c r="A68" s="27" t="b">
        <v>1</v>
      </c>
      <c r="B68" s="96" t="s">
        <v>1708</v>
      </c>
      <c r="C68" s="50" t="s">
        <v>1544</v>
      </c>
      <c r="D68" s="27" t="s">
        <v>409</v>
      </c>
      <c r="E68" s="51" t="s">
        <v>1709</v>
      </c>
      <c r="F68" s="27" t="s">
        <v>1710</v>
      </c>
      <c r="G68" s="27" t="str">
        <f t="shared" si="0"/>
        <v>Yg06k_w256.webp</v>
      </c>
      <c r="H68" s="27" t="s">
        <v>833</v>
      </c>
      <c r="I68" s="52" t="s">
        <v>1711</v>
      </c>
      <c r="J68" s="52" t="s">
        <v>1712</v>
      </c>
      <c r="K68" s="34"/>
      <c r="L68" s="26" t="s">
        <v>1713</v>
      </c>
      <c r="M68" s="53" t="s">
        <v>1714</v>
      </c>
      <c r="N68" s="54" t="e">
        <f t="shared" ca="1" si="32"/>
        <v>#NAME?</v>
      </c>
      <c r="O68" s="28"/>
      <c r="P68" s="28"/>
      <c r="Q68" s="84" t="s">
        <v>1715</v>
      </c>
      <c r="R68" s="84" t="s">
        <v>1716</v>
      </c>
      <c r="S68" s="84" t="s">
        <v>1715</v>
      </c>
      <c r="T68" s="78" t="s">
        <v>1717</v>
      </c>
      <c r="U68" s="78" t="s">
        <v>1717</v>
      </c>
      <c r="V68" s="36"/>
      <c r="W68" s="47"/>
      <c r="X68" s="38" t="s">
        <v>1718</v>
      </c>
      <c r="Y68" s="28"/>
      <c r="Z68" s="28"/>
      <c r="AA68" s="28"/>
      <c r="AB68" s="35"/>
      <c r="AC68" s="40" t="s">
        <v>1719</v>
      </c>
      <c r="AD68" s="19" t="s">
        <v>1720</v>
      </c>
      <c r="AE68" s="19" t="s">
        <v>1721</v>
      </c>
      <c r="AF68" s="19" t="s">
        <v>1722</v>
      </c>
      <c r="AG68" s="19" t="s">
        <v>1723</v>
      </c>
      <c r="AH68" s="19" t="s">
        <v>1724</v>
      </c>
      <c r="AI68" s="19" t="s">
        <v>1725</v>
      </c>
      <c r="AJ68" s="19" t="s">
        <v>1726</v>
      </c>
      <c r="AK68" s="41"/>
      <c r="AL68" s="41"/>
      <c r="AM68" s="28" t="str">
        <f>UPPER("Cùng bạn kết nối bền vững")</f>
        <v>CÙNG BẠN KẾT NỐI BỀN VỮNG</v>
      </c>
      <c r="AN68" s="27"/>
      <c r="AO68" s="26" t="s">
        <v>1727</v>
      </c>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36"/>
      <c r="BT68" s="27" t="s">
        <v>173</v>
      </c>
      <c r="BU68" s="42" t="s">
        <v>151</v>
      </c>
      <c r="BV68" s="28" t="e">
        <f t="shared" ca="1" si="2"/>
        <v>#NAME?</v>
      </c>
      <c r="BW68" s="28"/>
      <c r="BX68" s="26" t="str">
        <f t="shared" si="30"/>
        <v>LogoEximbank4.jpg</v>
      </c>
      <c r="BY68" s="28" t="s">
        <v>1728</v>
      </c>
      <c r="BZ68" s="26" t="s">
        <v>1729</v>
      </c>
      <c r="CA68" s="26" t="s">
        <v>1713</v>
      </c>
      <c r="CB68" s="28"/>
      <c r="CC68" s="28"/>
      <c r="CD68" s="28"/>
      <c r="CE68" s="28"/>
      <c r="CF68" s="28"/>
      <c r="CG68" s="28"/>
    </row>
    <row r="69" spans="1:85" ht="15.75" customHeight="1" x14ac:dyDescent="0.2">
      <c r="A69" s="27" t="b">
        <v>1</v>
      </c>
      <c r="B69" s="114" t="s">
        <v>1730</v>
      </c>
      <c r="C69" s="69" t="s">
        <v>1568</v>
      </c>
      <c r="D69" s="27" t="s">
        <v>117</v>
      </c>
      <c r="E69" s="70" t="s">
        <v>1731</v>
      </c>
      <c r="F69" s="27" t="s">
        <v>1732</v>
      </c>
      <c r="G69" s="27" t="str">
        <f t="shared" si="0"/>
        <v>image_w256.webp</v>
      </c>
      <c r="H69" s="27" t="s">
        <v>833</v>
      </c>
      <c r="I69" s="70" t="s">
        <v>1733</v>
      </c>
      <c r="J69" s="55" t="s">
        <v>1734</v>
      </c>
      <c r="K69" s="45" t="s">
        <v>1735</v>
      </c>
      <c r="L69" s="26" t="s">
        <v>1736</v>
      </c>
      <c r="M69" s="53" t="s">
        <v>1737</v>
      </c>
      <c r="N69" s="54" t="e">
        <f t="shared" ca="1" si="32"/>
        <v>#NAME?</v>
      </c>
      <c r="O69" s="40" t="s">
        <v>1738</v>
      </c>
      <c r="P69" s="54" t="e">
        <f ca="1">p_GMapLink(O69)</f>
        <v>#NAME?</v>
      </c>
      <c r="Q69" s="36" t="s">
        <v>1739</v>
      </c>
      <c r="R69" s="36" t="s">
        <v>1740</v>
      </c>
      <c r="S69" s="36" t="s">
        <v>1739</v>
      </c>
      <c r="T69" s="36" t="s">
        <v>1741</v>
      </c>
      <c r="U69" s="36" t="s">
        <v>1741</v>
      </c>
      <c r="V69" s="36"/>
      <c r="W69" s="37" t="str">
        <f>Y69</f>
        <v>https://www.facebook.com/NoithatNgocThinh</v>
      </c>
      <c r="X69" s="38" t="s">
        <v>1742</v>
      </c>
      <c r="Y69" s="57" t="s">
        <v>1743</v>
      </c>
      <c r="Z69" s="28"/>
      <c r="AA69" s="28"/>
      <c r="AB69" s="35"/>
      <c r="AC69" s="71" t="s">
        <v>1744</v>
      </c>
      <c r="AD69" s="19" t="s">
        <v>1745</v>
      </c>
      <c r="AE69" s="19" t="s">
        <v>1746</v>
      </c>
      <c r="AF69" s="19" t="s">
        <v>1747</v>
      </c>
      <c r="AG69" s="19" t="s">
        <v>1748</v>
      </c>
      <c r="AH69" s="19" t="s">
        <v>1749</v>
      </c>
      <c r="AI69" s="19" t="s">
        <v>1750</v>
      </c>
      <c r="AJ69" s="19" t="s">
        <v>1751</v>
      </c>
      <c r="AK69" s="41"/>
      <c r="AL69" s="41"/>
      <c r="AM69" s="19" t="s">
        <v>1752</v>
      </c>
      <c r="AN69" s="27"/>
      <c r="AO69" s="26" t="s">
        <v>1753</v>
      </c>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36"/>
      <c r="BT69" s="27" t="s">
        <v>173</v>
      </c>
      <c r="BU69" s="42" t="s">
        <v>151</v>
      </c>
      <c r="BV69" s="28" t="e">
        <f t="shared" ca="1" si="2"/>
        <v>#NAME?</v>
      </c>
      <c r="BW69" s="28"/>
      <c r="BX69" s="28"/>
      <c r="BY69" s="28" t="s">
        <v>1732</v>
      </c>
      <c r="BZ69" s="26" t="s">
        <v>1754</v>
      </c>
      <c r="CA69" s="26" t="s">
        <v>1736</v>
      </c>
      <c r="CB69" s="28"/>
      <c r="CC69" s="28"/>
      <c r="CD69" s="28"/>
      <c r="CE69" s="28"/>
      <c r="CF69" s="28"/>
      <c r="CG69" s="28"/>
    </row>
    <row r="70" spans="1:85" ht="15.75" customHeight="1" x14ac:dyDescent="0.2">
      <c r="A70" s="27" t="b">
        <v>1</v>
      </c>
      <c r="B70" s="32" t="s">
        <v>1755</v>
      </c>
      <c r="C70" s="50" t="s">
        <v>1591</v>
      </c>
      <c r="D70" s="27" t="s">
        <v>117</v>
      </c>
      <c r="E70" s="51" t="s">
        <v>1756</v>
      </c>
      <c r="F70" s="27" t="s">
        <v>1757</v>
      </c>
      <c r="G70" s="27" t="str">
        <f t="shared" si="0"/>
        <v>3596bcd2-797c-41cd-bf64-f00a3a1eb561_w256.webp</v>
      </c>
      <c r="H70" s="40" t="s">
        <v>1758</v>
      </c>
      <c r="I70" s="52" t="s">
        <v>1759</v>
      </c>
      <c r="J70" s="52" t="s">
        <v>1760</v>
      </c>
      <c r="K70" s="34" t="s">
        <v>1761</v>
      </c>
      <c r="L70" s="38" t="s">
        <v>1762</v>
      </c>
      <c r="M70" s="53" t="s">
        <v>1763</v>
      </c>
      <c r="N70" s="54" t="e">
        <f t="shared" ca="1" si="32"/>
        <v>#NAME?</v>
      </c>
      <c r="O70" s="28"/>
      <c r="P70" s="28"/>
      <c r="Q70" s="36" t="s">
        <v>1764</v>
      </c>
      <c r="R70" s="36" t="s">
        <v>1765</v>
      </c>
      <c r="S70" s="36" t="s">
        <v>1764</v>
      </c>
      <c r="T70" s="36" t="s">
        <v>1766</v>
      </c>
      <c r="U70" s="36" t="s">
        <v>1766</v>
      </c>
      <c r="V70" s="36"/>
      <c r="W70" s="47"/>
      <c r="X70" s="38" t="s">
        <v>1767</v>
      </c>
      <c r="Y70" s="28"/>
      <c r="Z70" s="28"/>
      <c r="AA70" s="97" t="s">
        <v>132</v>
      </c>
      <c r="AB70" s="35"/>
      <c r="AC70" s="40" t="s">
        <v>1768</v>
      </c>
      <c r="AD70" s="19" t="s">
        <v>1769</v>
      </c>
      <c r="AE70" s="19" t="s">
        <v>1770</v>
      </c>
      <c r="AF70" s="19" t="s">
        <v>1771</v>
      </c>
      <c r="AG70" s="19" t="s">
        <v>1772</v>
      </c>
      <c r="AH70" s="19" t="s">
        <v>1773</v>
      </c>
      <c r="AI70" s="19"/>
      <c r="AJ70" s="19"/>
      <c r="AK70" s="41"/>
      <c r="AL70" s="41"/>
      <c r="AM70" s="28"/>
      <c r="AN70" s="27"/>
      <c r="AO70" s="26" t="s">
        <v>1774</v>
      </c>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36"/>
      <c r="BT70" s="27" t="s">
        <v>173</v>
      </c>
      <c r="BU70" s="42" t="s">
        <v>151</v>
      </c>
      <c r="BV70" s="28" t="e">
        <f t="shared" ca="1" si="2"/>
        <v>#NAME?</v>
      </c>
      <c r="BW70" s="28"/>
      <c r="BX70" s="57" t="str">
        <f t="shared" ref="BX70:BX77" si="35">L70</f>
        <v>9d8ed5_f10796ace8434a34805495bda7e6df2b~mv2.avif</v>
      </c>
      <c r="BY70" s="28" t="s">
        <v>1775</v>
      </c>
      <c r="BZ70" s="26" t="s">
        <v>1776</v>
      </c>
      <c r="CA70" s="38" t="s">
        <v>1762</v>
      </c>
      <c r="CB70" s="28"/>
      <c r="CC70" s="28"/>
      <c r="CD70" s="28"/>
      <c r="CE70" s="28"/>
      <c r="CF70" s="28"/>
      <c r="CG70" s="28"/>
    </row>
    <row r="71" spans="1:85" ht="15.75" customHeight="1" x14ac:dyDescent="0.2">
      <c r="A71" s="27" t="b">
        <v>1</v>
      </c>
      <c r="B71" s="32" t="s">
        <v>1777</v>
      </c>
      <c r="C71" s="69" t="s">
        <v>1606</v>
      </c>
      <c r="D71" s="27" t="s">
        <v>117</v>
      </c>
      <c r="E71" s="55" t="s">
        <v>1778</v>
      </c>
      <c r="F71" s="26" t="s">
        <v>1779</v>
      </c>
      <c r="G71" s="27" t="str">
        <f t="shared" si="0"/>
        <v>Gemini_Generated_Image_17zevx17zevx17ze_W1024.webp</v>
      </c>
      <c r="H71" s="27" t="s">
        <v>833</v>
      </c>
      <c r="I71" s="70" t="str">
        <f>UPPER("Công ty Nhôm kính TVP Group")</f>
        <v>CÔNG TY NHÔM KÍNH TVP GROUP</v>
      </c>
      <c r="J71" s="55" t="s">
        <v>1780</v>
      </c>
      <c r="K71" s="45"/>
      <c r="L71" s="26" t="s">
        <v>1781</v>
      </c>
      <c r="M71" s="53" t="s">
        <v>1782</v>
      </c>
      <c r="N71" s="54" t="e">
        <f t="shared" ca="1" si="32"/>
        <v>#NAME?</v>
      </c>
      <c r="O71" s="28"/>
      <c r="P71" s="28"/>
      <c r="Q71" s="78" t="s">
        <v>1783</v>
      </c>
      <c r="R71" s="78" t="s">
        <v>1784</v>
      </c>
      <c r="S71" s="36" t="str">
        <f t="shared" ref="S71:S73" si="36">Q71</f>
        <v>0909517977</v>
      </c>
      <c r="T71" s="36" t="str">
        <f t="shared" ref="T71:T73" si="37">"84"&amp;IF(LEN(Q71)=10, RIGHT(Q71,9), Q71)</f>
        <v>84909517977</v>
      </c>
      <c r="U71" s="36" t="str">
        <f t="shared" ref="U71:U73" si="38">"84"&amp;IF(LEN(Q71)=10, RIGHT(Q71,9), Q71)</f>
        <v>84909517977</v>
      </c>
      <c r="V71" s="36"/>
      <c r="W71" s="47"/>
      <c r="X71" s="38" t="s">
        <v>1785</v>
      </c>
      <c r="Y71" s="28"/>
      <c r="Z71" s="28"/>
      <c r="AA71" s="28"/>
      <c r="AB71" s="35"/>
      <c r="AC71" s="55" t="s">
        <v>1786</v>
      </c>
      <c r="AD71" s="77" t="s">
        <v>1787</v>
      </c>
      <c r="AE71" s="18"/>
      <c r="AF71" s="28"/>
      <c r="AG71" s="28"/>
      <c r="AH71" s="28"/>
      <c r="AI71" s="28"/>
      <c r="AJ71" s="41"/>
      <c r="AK71" s="41"/>
      <c r="AL71" s="41"/>
      <c r="AM71" s="28"/>
      <c r="AN71" s="27"/>
      <c r="AO71" s="27"/>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7" t="s">
        <v>173</v>
      </c>
      <c r="BU71" s="42" t="s">
        <v>151</v>
      </c>
      <c r="BV71" s="28" t="e">
        <f t="shared" ca="1" si="2"/>
        <v>#NAME?</v>
      </c>
      <c r="BW71" s="28"/>
      <c r="BX71" s="26" t="str">
        <f t="shared" si="35"/>
        <v>tvp.jpg</v>
      </c>
      <c r="BY71" s="28" t="s">
        <v>1788</v>
      </c>
      <c r="BZ71" s="26" t="s">
        <v>1779</v>
      </c>
      <c r="CA71" s="26" t="s">
        <v>1781</v>
      </c>
      <c r="CB71" s="28"/>
      <c r="CC71" s="28"/>
      <c r="CD71" s="28"/>
      <c r="CE71" s="28"/>
      <c r="CF71" s="28"/>
      <c r="CG71" s="28"/>
    </row>
    <row r="72" spans="1:85" ht="15.75" customHeight="1" x14ac:dyDescent="0.2">
      <c r="A72" s="27" t="b">
        <v>1</v>
      </c>
      <c r="B72" s="32" t="s">
        <v>730</v>
      </c>
      <c r="C72" s="50" t="s">
        <v>1631</v>
      </c>
      <c r="D72" s="27" t="s">
        <v>117</v>
      </c>
      <c r="E72" s="51" t="s">
        <v>1789</v>
      </c>
      <c r="F72" s="26" t="s">
        <v>1790</v>
      </c>
      <c r="G72" s="27" t="str">
        <f t="shared" si="0"/>
        <v>Gemini_Generated_Image_b5u4m0b5u4m0b5u4_W1024.webp</v>
      </c>
      <c r="H72" s="27" t="s">
        <v>833</v>
      </c>
      <c r="I72" s="51" t="s">
        <v>1791</v>
      </c>
      <c r="J72" s="52" t="s">
        <v>1792</v>
      </c>
      <c r="K72" s="34" t="s">
        <v>1793</v>
      </c>
      <c r="L72" s="26" t="s">
        <v>1794</v>
      </c>
      <c r="M72" s="53" t="s">
        <v>1795</v>
      </c>
      <c r="N72" s="54" t="e">
        <f t="shared" ca="1" si="32"/>
        <v>#NAME?</v>
      </c>
      <c r="O72" s="26" t="s">
        <v>1796</v>
      </c>
      <c r="P72" s="54" t="e">
        <f ca="1">p_GMapLink(O72)</f>
        <v>#NAME?</v>
      </c>
      <c r="Q72" s="78" t="s">
        <v>1797</v>
      </c>
      <c r="R72" s="78" t="s">
        <v>1798</v>
      </c>
      <c r="S72" s="36" t="str">
        <f t="shared" si="36"/>
        <v>0902492330</v>
      </c>
      <c r="T72" s="36" t="str">
        <f t="shared" si="37"/>
        <v>84902492330</v>
      </c>
      <c r="U72" s="36" t="str">
        <f t="shared" si="38"/>
        <v>84902492330</v>
      </c>
      <c r="V72" s="36"/>
      <c r="W72" s="47"/>
      <c r="X72" s="38" t="s">
        <v>1799</v>
      </c>
      <c r="Y72" s="28"/>
      <c r="Z72" s="28"/>
      <c r="AA72" s="28"/>
      <c r="AB72" s="35"/>
      <c r="AC72" s="40" t="s">
        <v>1800</v>
      </c>
      <c r="AD72" s="19" t="s">
        <v>1801</v>
      </c>
      <c r="AE72" s="19" t="s">
        <v>1802</v>
      </c>
      <c r="AF72" s="19" t="s">
        <v>1803</v>
      </c>
      <c r="AG72" s="19" t="s">
        <v>1804</v>
      </c>
      <c r="AH72" s="19" t="s">
        <v>1805</v>
      </c>
      <c r="AI72" s="19" t="s">
        <v>1806</v>
      </c>
      <c r="AJ72" s="19" t="s">
        <v>1807</v>
      </c>
      <c r="AK72" s="41"/>
      <c r="AL72" s="41"/>
      <c r="AM72" s="26" t="s">
        <v>1808</v>
      </c>
      <c r="AN72" s="27"/>
      <c r="AO72" s="26" t="s">
        <v>1809</v>
      </c>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36"/>
      <c r="BT72" s="27" t="s">
        <v>173</v>
      </c>
      <c r="BU72" s="42" t="s">
        <v>151</v>
      </c>
      <c r="BV72" s="28" t="e">
        <f t="shared" ca="1" si="2"/>
        <v>#NAME?</v>
      </c>
      <c r="BW72" s="36" t="s">
        <v>1810</v>
      </c>
      <c r="BX72" s="26" t="str">
        <f t="shared" si="35"/>
        <v>logo-1749265779.png</v>
      </c>
      <c r="BY72" s="28" t="s">
        <v>1811</v>
      </c>
      <c r="BZ72" s="26" t="s">
        <v>1790</v>
      </c>
      <c r="CA72" s="26" t="s">
        <v>1794</v>
      </c>
      <c r="CB72" s="28"/>
      <c r="CC72" s="28"/>
      <c r="CD72" s="28"/>
      <c r="CE72" s="28"/>
      <c r="CF72" s="28"/>
      <c r="CG72" s="28"/>
    </row>
    <row r="73" spans="1:85" ht="15.75" customHeight="1" x14ac:dyDescent="0.2">
      <c r="A73" s="27" t="b">
        <v>1</v>
      </c>
      <c r="B73" s="32" t="s">
        <v>1812</v>
      </c>
      <c r="C73" s="69" t="s">
        <v>1652</v>
      </c>
      <c r="D73" s="27" t="s">
        <v>117</v>
      </c>
      <c r="E73" s="70" t="s">
        <v>1813</v>
      </c>
      <c r="F73" s="26" t="s">
        <v>1814</v>
      </c>
      <c r="G73" s="27" t="str">
        <f t="shared" si="0"/>
        <v>Gemini_Generated_Image_biteo0biteo0bite_W1024.webp</v>
      </c>
      <c r="H73" s="27" t="s">
        <v>833</v>
      </c>
      <c r="I73" s="55" t="s">
        <v>1815</v>
      </c>
      <c r="J73" s="55" t="s">
        <v>1816</v>
      </c>
      <c r="K73" s="45"/>
      <c r="L73" s="26" t="s">
        <v>1409</v>
      </c>
      <c r="M73" s="53" t="s">
        <v>1817</v>
      </c>
      <c r="N73" s="54" t="e">
        <f t="shared" ca="1" si="32"/>
        <v>#NAME?</v>
      </c>
      <c r="O73" s="26" t="s">
        <v>1818</v>
      </c>
      <c r="P73" s="28"/>
      <c r="Q73" s="78" t="e">
        <f>VLOOKUP(E73,#REF!, 7, FALSE)</f>
        <v>#REF!</v>
      </c>
      <c r="R73" s="36" t="e">
        <f>VLOOKUP(E73,#REF!, 8, FALSE)</f>
        <v>#REF!</v>
      </c>
      <c r="S73" s="36" t="e">
        <f t="shared" si="36"/>
        <v>#REF!</v>
      </c>
      <c r="T73" s="36" t="e">
        <f t="shared" si="37"/>
        <v>#REF!</v>
      </c>
      <c r="U73" s="36" t="e">
        <f t="shared" si="38"/>
        <v>#REF!</v>
      </c>
      <c r="V73" s="36"/>
      <c r="W73" s="37" t="str">
        <f t="shared" ref="W73:W84" si="39">Y73</f>
        <v>https://www.facebook.com/anbao.minh.50</v>
      </c>
      <c r="X73" s="38" t="s">
        <v>1819</v>
      </c>
      <c r="Y73" s="38" t="s">
        <v>1820</v>
      </c>
      <c r="Z73" s="28" t="e">
        <f>VLOOKUP(E73,#REF!, 11, FALSE)</f>
        <v>#REF!</v>
      </c>
      <c r="AA73" s="28"/>
      <c r="AB73" s="18"/>
      <c r="AC73" s="71" t="s">
        <v>1821</v>
      </c>
      <c r="AD73" s="19" t="s">
        <v>1822</v>
      </c>
      <c r="AE73" s="19" t="s">
        <v>1823</v>
      </c>
      <c r="AF73" s="19" t="s">
        <v>1824</v>
      </c>
      <c r="AG73" s="18"/>
      <c r="AH73" s="19"/>
      <c r="AI73" s="19"/>
      <c r="AJ73" s="19"/>
      <c r="AK73" s="41"/>
      <c r="AL73" s="41"/>
      <c r="AM73" s="26" t="s">
        <v>1825</v>
      </c>
      <c r="AN73" s="27"/>
      <c r="AO73" s="26" t="s">
        <v>1826</v>
      </c>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7" t="s">
        <v>173</v>
      </c>
      <c r="BU73" s="42" t="s">
        <v>151</v>
      </c>
      <c r="BV73" s="28" t="e">
        <f t="shared" ca="1" si="2"/>
        <v>#NAME?</v>
      </c>
      <c r="BW73" s="57" t="s">
        <v>1827</v>
      </c>
      <c r="BX73" s="26" t="str">
        <f t="shared" si="35"/>
        <v>logo.png</v>
      </c>
      <c r="BY73" s="28" t="s">
        <v>1425</v>
      </c>
      <c r="BZ73" s="26" t="s">
        <v>1814</v>
      </c>
      <c r="CA73" s="26" t="s">
        <v>1409</v>
      </c>
      <c r="CB73" s="28"/>
      <c r="CC73" s="28"/>
      <c r="CD73" s="28"/>
      <c r="CE73" s="28"/>
      <c r="CF73" s="28"/>
      <c r="CG73" s="28"/>
    </row>
    <row r="74" spans="1:85" ht="15.75" customHeight="1" x14ac:dyDescent="0.2">
      <c r="A74" s="27" t="b">
        <v>1</v>
      </c>
      <c r="B74" s="32" t="s">
        <v>707</v>
      </c>
      <c r="C74" s="50" t="s">
        <v>1686</v>
      </c>
      <c r="D74" s="27" t="s">
        <v>409</v>
      </c>
      <c r="E74" s="51" t="s">
        <v>1828</v>
      </c>
      <c r="F74" s="26" t="s">
        <v>1829</v>
      </c>
      <c r="G74" s="27" t="str">
        <f t="shared" si="0"/>
        <v>Gemini_Generated_Image_enullienullienul_W1024.webp</v>
      </c>
      <c r="H74" s="26" t="s">
        <v>833</v>
      </c>
      <c r="I74" s="52" t="s">
        <v>1830</v>
      </c>
      <c r="J74" s="33" t="str">
        <f>PROPER("LAVENER DENTAL")</f>
        <v>Lavener Dental</v>
      </c>
      <c r="K74" s="34" t="s">
        <v>1831</v>
      </c>
      <c r="L74" s="98" t="s">
        <v>1832</v>
      </c>
      <c r="M74" s="53" t="s">
        <v>1833</v>
      </c>
      <c r="N74" s="54" t="e">
        <f t="shared" ca="1" si="32"/>
        <v>#NAME?</v>
      </c>
      <c r="O74" s="28"/>
      <c r="P74" s="28"/>
      <c r="Q74" s="36" t="s">
        <v>1834</v>
      </c>
      <c r="R74" s="36" t="s">
        <v>1835</v>
      </c>
      <c r="S74" s="36" t="s">
        <v>1834</v>
      </c>
      <c r="T74" s="36" t="s">
        <v>1836</v>
      </c>
      <c r="U74" s="36" t="s">
        <v>1836</v>
      </c>
      <c r="V74" s="36"/>
      <c r="W74" s="37" t="str">
        <f t="shared" si="39"/>
        <v>https://fb.com/lavenerdental</v>
      </c>
      <c r="X74" s="38" t="s">
        <v>1837</v>
      </c>
      <c r="Y74" s="38" t="s">
        <v>1838</v>
      </c>
      <c r="Z74" s="28"/>
      <c r="AA74" s="97" t="s">
        <v>132</v>
      </c>
      <c r="AB74" s="35"/>
      <c r="AC74" s="40" t="s">
        <v>1839</v>
      </c>
      <c r="AD74" s="19" t="s">
        <v>1840</v>
      </c>
      <c r="AE74" s="19" t="s">
        <v>1841</v>
      </c>
      <c r="AF74" s="19" t="s">
        <v>1842</v>
      </c>
      <c r="AG74" s="19" t="s">
        <v>1843</v>
      </c>
      <c r="AH74" s="19" t="s">
        <v>1844</v>
      </c>
      <c r="AI74" s="19" t="s">
        <v>1845</v>
      </c>
      <c r="AJ74" s="19" t="s">
        <v>1846</v>
      </c>
      <c r="AK74" s="41"/>
      <c r="AL74" s="41"/>
      <c r="AM74" s="26" t="s">
        <v>1847</v>
      </c>
      <c r="AN74" s="27"/>
      <c r="AO74" s="26" t="s">
        <v>1848</v>
      </c>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36"/>
      <c r="BT74" s="27" t="s">
        <v>173</v>
      </c>
      <c r="BU74" s="42" t="s">
        <v>151</v>
      </c>
      <c r="BV74" s="28" t="e">
        <f t="shared" ca="1" si="2"/>
        <v>#NAME?</v>
      </c>
      <c r="BW74" s="28"/>
      <c r="BX74" s="26" t="str">
        <f t="shared" si="35"/>
        <v>480282260_611050961713302_409808744266562024_n.jpg</v>
      </c>
      <c r="BY74" s="28" t="s">
        <v>1849</v>
      </c>
      <c r="BZ74" s="26" t="s">
        <v>1829</v>
      </c>
      <c r="CA74" s="98" t="s">
        <v>1832</v>
      </c>
      <c r="CB74" s="28"/>
      <c r="CC74" s="28"/>
      <c r="CD74" s="28"/>
      <c r="CE74" s="28"/>
      <c r="CF74" s="28"/>
      <c r="CG74" s="28"/>
    </row>
    <row r="75" spans="1:85" ht="15.75" customHeight="1" x14ac:dyDescent="0.2">
      <c r="A75" s="27" t="b">
        <v>1</v>
      </c>
      <c r="B75" s="32" t="s">
        <v>592</v>
      </c>
      <c r="C75" s="69" t="s">
        <v>1708</v>
      </c>
      <c r="D75" s="27" t="s">
        <v>409</v>
      </c>
      <c r="E75" s="70" t="s">
        <v>1850</v>
      </c>
      <c r="F75" s="26" t="s">
        <v>1851</v>
      </c>
      <c r="G75" s="27" t="str">
        <f t="shared" si="0"/>
        <v>Gemini_Generated_Image_a2vypza2vypza2vy_W1024.webp</v>
      </c>
      <c r="H75" s="26" t="s">
        <v>1279</v>
      </c>
      <c r="I75" s="70" t="s">
        <v>1852</v>
      </c>
      <c r="J75" s="55" t="s">
        <v>1853</v>
      </c>
      <c r="K75" s="45" t="s">
        <v>1854</v>
      </c>
      <c r="L75" s="38" t="s">
        <v>1855</v>
      </c>
      <c r="M75" s="53" t="s">
        <v>1856</v>
      </c>
      <c r="N75" s="54" t="e">
        <f t="shared" ca="1" si="32"/>
        <v>#NAME?</v>
      </c>
      <c r="O75" s="28"/>
      <c r="P75" s="28"/>
      <c r="Q75" s="84" t="s">
        <v>1857</v>
      </c>
      <c r="R75" s="78" t="s">
        <v>1858</v>
      </c>
      <c r="S75" s="36" t="str">
        <f>Q75</f>
        <v>0706159968</v>
      </c>
      <c r="T75" s="36" t="str">
        <f>"84"&amp;IF(LEN(Q75)=10, RIGHT(Q75,9), Q75)</f>
        <v>84706159968</v>
      </c>
      <c r="U75" s="36" t="str">
        <f>"84"&amp;IF(LEN(Q75)=10, RIGHT(Q75,9), Q75)</f>
        <v>84706159968</v>
      </c>
      <c r="V75" s="36"/>
      <c r="W75" s="47">
        <f t="shared" si="39"/>
        <v>0</v>
      </c>
      <c r="X75" s="38" t="s">
        <v>1859</v>
      </c>
      <c r="Y75" s="28"/>
      <c r="Z75" s="28"/>
      <c r="AA75" s="97" t="s">
        <v>132</v>
      </c>
      <c r="AB75" s="35"/>
      <c r="AC75" s="71" t="s">
        <v>1860</v>
      </c>
      <c r="AD75" s="19" t="s">
        <v>1861</v>
      </c>
      <c r="AE75" s="19" t="s">
        <v>1862</v>
      </c>
      <c r="AF75" s="19" t="s">
        <v>1863</v>
      </c>
      <c r="AG75" s="19" t="s">
        <v>1864</v>
      </c>
      <c r="AH75" s="19" t="s">
        <v>1865</v>
      </c>
      <c r="AI75" s="19" t="s">
        <v>1866</v>
      </c>
      <c r="AJ75" s="19" t="s">
        <v>1867</v>
      </c>
      <c r="AK75" s="41"/>
      <c r="AL75" s="41"/>
      <c r="AM75" s="26" t="s">
        <v>1868</v>
      </c>
      <c r="AN75" s="27"/>
      <c r="AO75" s="26" t="s">
        <v>1869</v>
      </c>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7" t="s">
        <v>173</v>
      </c>
      <c r="BU75" s="42" t="s">
        <v>151</v>
      </c>
      <c r="BV75" s="28" t="e">
        <f t="shared" ca="1" si="2"/>
        <v>#NAME?</v>
      </c>
      <c r="BW75" s="28"/>
      <c r="BX75" s="57" t="str">
        <f t="shared" si="35"/>
        <v>logo-2024-png-1.png</v>
      </c>
      <c r="BY75" s="28" t="s">
        <v>1870</v>
      </c>
      <c r="BZ75" s="26" t="s">
        <v>1851</v>
      </c>
      <c r="CA75" s="38" t="s">
        <v>1855</v>
      </c>
      <c r="CB75" s="28"/>
      <c r="CC75" s="28"/>
      <c r="CD75" s="28"/>
      <c r="CE75" s="28"/>
      <c r="CF75" s="28"/>
      <c r="CG75" s="28"/>
    </row>
    <row r="76" spans="1:85" ht="15.75" customHeight="1" x14ac:dyDescent="0.2">
      <c r="A76" s="27" t="b">
        <v>1</v>
      </c>
      <c r="B76" s="32" t="s">
        <v>1871</v>
      </c>
      <c r="C76" s="50" t="s">
        <v>1730</v>
      </c>
      <c r="D76" s="27" t="s">
        <v>409</v>
      </c>
      <c r="E76" s="51" t="s">
        <v>1872</v>
      </c>
      <c r="F76" s="27" t="s">
        <v>1873</v>
      </c>
      <c r="G76" s="27" t="str">
        <f t="shared" si="0"/>
        <v>A068_TRẦN LÊ QUỲNH DIỄM_w256.webp</v>
      </c>
      <c r="H76" s="27" t="s">
        <v>833</v>
      </c>
      <c r="I76" s="44" t="e">
        <f ca="1">p_LayTTDN_Full(K76, "ten")</f>
        <v>#NAME?</v>
      </c>
      <c r="J76" s="52" t="s">
        <v>1874</v>
      </c>
      <c r="K76" s="34" t="s">
        <v>1875</v>
      </c>
      <c r="L76" s="26" t="s">
        <v>1876</v>
      </c>
      <c r="M76" s="53" t="s">
        <v>1877</v>
      </c>
      <c r="N76" s="54" t="e">
        <f t="shared" ca="1" si="32"/>
        <v>#NAME?</v>
      </c>
      <c r="O76" s="28"/>
      <c r="P76" s="28"/>
      <c r="Q76" s="36" t="s">
        <v>1878</v>
      </c>
      <c r="R76" s="36" t="s">
        <v>1879</v>
      </c>
      <c r="S76" s="36" t="s">
        <v>1878</v>
      </c>
      <c r="T76" s="36" t="s">
        <v>1880</v>
      </c>
      <c r="U76" s="36" t="s">
        <v>1880</v>
      </c>
      <c r="V76" s="36"/>
      <c r="W76" s="37" t="str">
        <f t="shared" si="39"/>
        <v>http://fb.com/cagaileoanxuan</v>
      </c>
      <c r="X76" s="38" t="s">
        <v>1881</v>
      </c>
      <c r="Y76" s="57" t="s">
        <v>1882</v>
      </c>
      <c r="Z76" s="28"/>
      <c r="AA76" s="97" t="s">
        <v>132</v>
      </c>
      <c r="AB76" s="35" t="e">
        <f>VLOOKUP(E76,#REF!, 12, FALSE)</f>
        <v>#REF!</v>
      </c>
      <c r="AC76" s="40" t="s">
        <v>1883</v>
      </c>
      <c r="AD76" s="19" t="s">
        <v>1884</v>
      </c>
      <c r="AE76" s="19" t="s">
        <v>1885</v>
      </c>
      <c r="AF76" s="19" t="s">
        <v>1886</v>
      </c>
      <c r="AG76" s="19" t="s">
        <v>1887</v>
      </c>
      <c r="AH76" s="19" t="s">
        <v>1888</v>
      </c>
      <c r="AI76" s="19" t="s">
        <v>1889</v>
      </c>
      <c r="AJ76" s="19" t="s">
        <v>1890</v>
      </c>
      <c r="AK76" s="41"/>
      <c r="AL76" s="41"/>
      <c r="AM76" s="26" t="s">
        <v>1891</v>
      </c>
      <c r="AN76" s="26" t="s">
        <v>1892</v>
      </c>
      <c r="AO76" s="26" t="s">
        <v>1893</v>
      </c>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36"/>
      <c r="BT76" s="27" t="s">
        <v>173</v>
      </c>
      <c r="BU76" s="42" t="s">
        <v>151</v>
      </c>
      <c r="BV76" s="28" t="e">
        <f t="shared" ca="1" si="2"/>
        <v>#NAME?</v>
      </c>
      <c r="BW76" s="28"/>
      <c r="BX76" s="26" t="str">
        <f t="shared" si="35"/>
        <v>Logo-cagaileo.png</v>
      </c>
      <c r="BY76" s="28" t="s">
        <v>1894</v>
      </c>
      <c r="BZ76" s="26" t="s">
        <v>1895</v>
      </c>
      <c r="CA76" s="26" t="s">
        <v>1876</v>
      </c>
      <c r="CB76" s="28"/>
      <c r="CC76" s="28"/>
      <c r="CD76" s="28"/>
      <c r="CE76" s="28"/>
      <c r="CF76" s="28"/>
      <c r="CG76" s="28"/>
    </row>
    <row r="77" spans="1:85" ht="15.75" customHeight="1" x14ac:dyDescent="0.2">
      <c r="A77" s="27" t="b">
        <v>1</v>
      </c>
      <c r="B77" s="32" t="s">
        <v>1896</v>
      </c>
      <c r="C77" s="69" t="s">
        <v>1755</v>
      </c>
      <c r="D77" s="27" t="s">
        <v>117</v>
      </c>
      <c r="E77" s="70" t="s">
        <v>1897</v>
      </c>
      <c r="F77" s="27" t="s">
        <v>1898</v>
      </c>
      <c r="G77" s="27" t="str">
        <f t="shared" si="0"/>
        <v>3aed040b-ff18-4296-babe-d40565b926aa_w256.webp</v>
      </c>
      <c r="H77" s="27" t="e">
        <f>IF(ISERROR(VLOOKUP(E77,#REF!, 6, FALSE)), VLOOKUP(Q77,#REF!, 22, FALSE), VLOOKUP(E77,#REF!, 6, FALSE))</f>
        <v>#REF!</v>
      </c>
      <c r="I77" s="55" t="s">
        <v>1899</v>
      </c>
      <c r="J77" s="55" t="s">
        <v>1900</v>
      </c>
      <c r="K77" s="45"/>
      <c r="L77" s="26" t="s">
        <v>1901</v>
      </c>
      <c r="M77" s="53" t="s">
        <v>1902</v>
      </c>
      <c r="N77" s="57" t="s">
        <v>1903</v>
      </c>
      <c r="O77" s="26" t="s">
        <v>1904</v>
      </c>
      <c r="P77" s="57" t="s">
        <v>1903</v>
      </c>
      <c r="Q77" s="78" t="s">
        <v>1905</v>
      </c>
      <c r="R77" s="78" t="s">
        <v>1906</v>
      </c>
      <c r="S77" s="36" t="str">
        <f t="shared" ref="S77:S79" si="40">Q77</f>
        <v>0339000222</v>
      </c>
      <c r="T77" s="36" t="str">
        <f t="shared" ref="T77:T79" si="41">"84"&amp;IF(LEN(Q77)=10, RIGHT(Q77,9), Q77)</f>
        <v>84339000222</v>
      </c>
      <c r="U77" s="36" t="str">
        <f t="shared" ref="U77:U79" si="42">"84"&amp;IF(LEN(Q77)=10, RIGHT(Q77,9), Q77)</f>
        <v>84339000222</v>
      </c>
      <c r="V77" s="36"/>
      <c r="W77" s="47">
        <f t="shared" si="39"/>
        <v>0</v>
      </c>
      <c r="X77" s="38" t="s">
        <v>1907</v>
      </c>
      <c r="Y77" s="28"/>
      <c r="Z77" s="28"/>
      <c r="AA77" s="97" t="s">
        <v>132</v>
      </c>
      <c r="AB77" s="35"/>
      <c r="AC77" s="71" t="s">
        <v>1908</v>
      </c>
      <c r="AD77" s="19" t="s">
        <v>1909</v>
      </c>
      <c r="AE77" s="19" t="s">
        <v>1910</v>
      </c>
      <c r="AF77" s="19" t="s">
        <v>1911</v>
      </c>
      <c r="AG77" s="19" t="s">
        <v>1912</v>
      </c>
      <c r="AH77" s="19" t="s">
        <v>1913</v>
      </c>
      <c r="AI77" s="19" t="s">
        <v>1914</v>
      </c>
      <c r="AJ77" s="19" t="s">
        <v>1915</v>
      </c>
      <c r="AK77" s="41"/>
      <c r="AL77" s="41"/>
      <c r="AM77" s="19" t="s">
        <v>1916</v>
      </c>
      <c r="AN77" s="27"/>
      <c r="AO77" s="98" t="s">
        <v>1917</v>
      </c>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7" t="s">
        <v>173</v>
      </c>
      <c r="BU77" s="42" t="s">
        <v>151</v>
      </c>
      <c r="BV77" s="28" t="e">
        <f t="shared" ca="1" si="2"/>
        <v>#NAME?</v>
      </c>
      <c r="BW77" s="28"/>
      <c r="BX77" s="26" t="str">
        <f t="shared" si="35"/>
        <v>thiet-ke-chua-co-ten-3511.png</v>
      </c>
      <c r="BY77" s="28" t="s">
        <v>1918</v>
      </c>
      <c r="BZ77" s="26" t="s">
        <v>1919</v>
      </c>
      <c r="CA77" s="26" t="s">
        <v>1901</v>
      </c>
      <c r="CB77" s="28"/>
      <c r="CC77" s="28"/>
      <c r="CD77" s="28"/>
      <c r="CE77" s="28"/>
      <c r="CF77" s="28"/>
      <c r="CG77" s="28"/>
    </row>
    <row r="78" spans="1:85" ht="15.75" customHeight="1" x14ac:dyDescent="0.2">
      <c r="A78" s="27" t="b">
        <v>1</v>
      </c>
      <c r="B78" s="32" t="s">
        <v>1920</v>
      </c>
      <c r="C78" s="50" t="s">
        <v>1777</v>
      </c>
      <c r="D78" s="27" t="s">
        <v>117</v>
      </c>
      <c r="E78" s="51" t="s">
        <v>1921</v>
      </c>
      <c r="F78" s="27" t="s">
        <v>1922</v>
      </c>
      <c r="G78" s="27" t="str">
        <f t="shared" si="0"/>
        <v>6d2d5624-3fae-43ff-b989-c961bd340dbe_w256.webp</v>
      </c>
      <c r="H78" s="27" t="s">
        <v>1042</v>
      </c>
      <c r="I78" s="52" t="s">
        <v>1923</v>
      </c>
      <c r="J78" s="52" t="s">
        <v>1924</v>
      </c>
      <c r="K78" s="34" t="s">
        <v>1925</v>
      </c>
      <c r="L78" s="26" t="s">
        <v>1926</v>
      </c>
      <c r="M78" s="53" t="s">
        <v>1927</v>
      </c>
      <c r="N78" s="54" t="e">
        <f t="shared" ref="N78:N121" ca="1" si="43">p_GMapLink(M78)</f>
        <v>#NAME?</v>
      </c>
      <c r="O78" s="18"/>
      <c r="P78" s="28"/>
      <c r="Q78" s="78" t="e">
        <f>VLOOKUP(E78,#REF!, 7, FALSE)</f>
        <v>#REF!</v>
      </c>
      <c r="R78" s="36" t="e">
        <f>VLOOKUP(E78,#REF!, 8, FALSE)</f>
        <v>#REF!</v>
      </c>
      <c r="S78" s="36" t="e">
        <f t="shared" si="40"/>
        <v>#REF!</v>
      </c>
      <c r="T78" s="36" t="e">
        <f t="shared" si="41"/>
        <v>#REF!</v>
      </c>
      <c r="U78" s="36" t="e">
        <f t="shared" si="42"/>
        <v>#REF!</v>
      </c>
      <c r="V78" s="36"/>
      <c r="W78" s="37" t="e">
        <f t="shared" si="39"/>
        <v>#REF!</v>
      </c>
      <c r="X78" s="38" t="s">
        <v>1928</v>
      </c>
      <c r="Y78" s="54" t="e">
        <f>VLOOKUP(E78,#REF!, 10, FALSE)</f>
        <v>#REF!</v>
      </c>
      <c r="Z78" s="28" t="e">
        <f>VLOOKUP(E78,#REF!, 11, FALSE)</f>
        <v>#REF!</v>
      </c>
      <c r="AA78" s="97" t="s">
        <v>132</v>
      </c>
      <c r="AB78" s="35" t="e">
        <f>VLOOKUP(E78,#REF!, 12, FALSE)</f>
        <v>#REF!</v>
      </c>
      <c r="AC78" s="40" t="s">
        <v>1929</v>
      </c>
      <c r="AD78" s="19" t="s">
        <v>1930</v>
      </c>
      <c r="AE78" s="19" t="s">
        <v>1931</v>
      </c>
      <c r="AF78" s="19" t="s">
        <v>1932</v>
      </c>
      <c r="AG78" s="19" t="s">
        <v>1933</v>
      </c>
      <c r="AH78" s="19" t="s">
        <v>1934</v>
      </c>
      <c r="AI78" s="19" t="s">
        <v>1935</v>
      </c>
      <c r="AJ78" s="19" t="s">
        <v>1936</v>
      </c>
      <c r="AK78" s="41"/>
      <c r="AL78" s="41"/>
      <c r="AM78" s="26" t="s">
        <v>1937</v>
      </c>
      <c r="AN78" s="27"/>
      <c r="AO78" s="98" t="s">
        <v>1938</v>
      </c>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7" t="s">
        <v>173</v>
      </c>
      <c r="BU78" s="42" t="s">
        <v>151</v>
      </c>
      <c r="BV78" s="28" t="e">
        <f t="shared" ca="1" si="2"/>
        <v>#NAME?</v>
      </c>
      <c r="BW78" s="28"/>
      <c r="BX78" s="28"/>
      <c r="BY78" s="28" t="s">
        <v>1922</v>
      </c>
      <c r="BZ78" s="26" t="s">
        <v>1939</v>
      </c>
      <c r="CA78" s="26" t="s">
        <v>1926</v>
      </c>
      <c r="CB78" s="28"/>
      <c r="CC78" s="28"/>
      <c r="CD78" s="28"/>
      <c r="CE78" s="28"/>
      <c r="CF78" s="28"/>
      <c r="CG78" s="28"/>
    </row>
    <row r="79" spans="1:85" ht="15.75" customHeight="1" x14ac:dyDescent="0.2">
      <c r="A79" s="27" t="b">
        <v>1</v>
      </c>
      <c r="B79" s="32" t="s">
        <v>1017</v>
      </c>
      <c r="C79" s="69" t="s">
        <v>1812</v>
      </c>
      <c r="D79" s="27" t="s">
        <v>409</v>
      </c>
      <c r="E79" s="70" t="s">
        <v>1940</v>
      </c>
      <c r="F79" s="27" t="s">
        <v>1941</v>
      </c>
      <c r="G79" s="27" t="str">
        <f t="shared" si="0"/>
        <v>oSs3P_w256.webp</v>
      </c>
      <c r="H79" s="27" t="s">
        <v>833</v>
      </c>
      <c r="I79" s="55" t="s">
        <v>1942</v>
      </c>
      <c r="J79" s="55" t="s">
        <v>1943</v>
      </c>
      <c r="K79" s="45" t="s">
        <v>1944</v>
      </c>
      <c r="L79" s="26" t="s">
        <v>1945</v>
      </c>
      <c r="M79" s="53" t="s">
        <v>1946</v>
      </c>
      <c r="N79" s="54" t="e">
        <f t="shared" ca="1" si="43"/>
        <v>#NAME?</v>
      </c>
      <c r="O79" s="28"/>
      <c r="P79" s="28"/>
      <c r="Q79" s="78" t="s">
        <v>1947</v>
      </c>
      <c r="R79" s="85" t="s">
        <v>1948</v>
      </c>
      <c r="S79" s="36" t="str">
        <f t="shared" si="40"/>
        <v>0938656786</v>
      </c>
      <c r="T79" s="36" t="str">
        <f t="shared" si="41"/>
        <v>84938656786</v>
      </c>
      <c r="U79" s="36" t="str">
        <f t="shared" si="42"/>
        <v>84938656786</v>
      </c>
      <c r="V79" s="36"/>
      <c r="W79" s="37" t="str">
        <f t="shared" si="39"/>
        <v>https://fb.com/share/1895GtTqFP</v>
      </c>
      <c r="X79" s="35"/>
      <c r="Y79" s="38" t="s">
        <v>1949</v>
      </c>
      <c r="Z79" s="28"/>
      <c r="AA79" s="97" t="s">
        <v>132</v>
      </c>
      <c r="AB79" s="35"/>
      <c r="AC79" s="55" t="s">
        <v>1950</v>
      </c>
      <c r="AD79" s="77" t="s">
        <v>1951</v>
      </c>
      <c r="AE79" s="19" t="s">
        <v>1952</v>
      </c>
      <c r="AF79" s="26" t="s">
        <v>1953</v>
      </c>
      <c r="AG79" s="28"/>
      <c r="AH79" s="28"/>
      <c r="AI79" s="28"/>
      <c r="AJ79" s="41"/>
      <c r="AK79" s="41"/>
      <c r="AL79" s="41"/>
      <c r="AM79" s="28"/>
      <c r="AN79" s="27"/>
      <c r="AO79" s="27"/>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6" t="s">
        <v>150</v>
      </c>
      <c r="BU79" s="42" t="s">
        <v>151</v>
      </c>
      <c r="BV79" s="28" t="e">
        <f t="shared" ca="1" si="2"/>
        <v>#NAME?</v>
      </c>
      <c r="BW79" s="28"/>
      <c r="BX79" s="26" t="str">
        <f t="shared" ref="BX79:BX88" si="44">L79</f>
        <v>e306baf5-29cf-4fb5-841a-72cd1d131b66.jpg</v>
      </c>
      <c r="BY79" s="28" t="s">
        <v>1954</v>
      </c>
      <c r="BZ79" s="26" t="s">
        <v>1955</v>
      </c>
      <c r="CA79" s="26" t="s">
        <v>1945</v>
      </c>
      <c r="CB79" s="28"/>
      <c r="CC79" s="28"/>
      <c r="CD79" s="28"/>
      <c r="CE79" s="28"/>
      <c r="CF79" s="28"/>
      <c r="CG79" s="28"/>
    </row>
    <row r="80" spans="1:85" ht="15.75" customHeight="1" x14ac:dyDescent="0.2">
      <c r="A80" s="27" t="b">
        <v>1</v>
      </c>
      <c r="B80" s="32" t="s">
        <v>538</v>
      </c>
      <c r="C80" s="50" t="s">
        <v>1871</v>
      </c>
      <c r="D80" s="27" t="s">
        <v>117</v>
      </c>
      <c r="E80" s="51" t="s">
        <v>1956</v>
      </c>
      <c r="F80" s="27" t="s">
        <v>1957</v>
      </c>
      <c r="G80" s="27" t="str">
        <f t="shared" si="0"/>
        <v>A075_HOÀNG KIM NHẬT_w256.webp</v>
      </c>
      <c r="H80" s="27" t="s">
        <v>1042</v>
      </c>
      <c r="I80" s="52" t="s">
        <v>1958</v>
      </c>
      <c r="J80" s="52" t="s">
        <v>1959</v>
      </c>
      <c r="K80" s="34" t="s">
        <v>1960</v>
      </c>
      <c r="L80" s="26" t="s">
        <v>544</v>
      </c>
      <c r="M80" s="53" t="s">
        <v>1961</v>
      </c>
      <c r="N80" s="54" t="e">
        <f t="shared" ca="1" si="43"/>
        <v>#NAME?</v>
      </c>
      <c r="O80" s="28"/>
      <c r="P80" s="28"/>
      <c r="Q80" s="36" t="s">
        <v>1962</v>
      </c>
      <c r="R80" s="36" t="s">
        <v>1963</v>
      </c>
      <c r="S80" s="36" t="s">
        <v>1962</v>
      </c>
      <c r="T80" s="36" t="s">
        <v>1964</v>
      </c>
      <c r="U80" s="36" t="s">
        <v>1964</v>
      </c>
      <c r="V80" s="36"/>
      <c r="W80" s="47">
        <f t="shared" si="39"/>
        <v>0</v>
      </c>
      <c r="X80" s="35" t="s">
        <v>1965</v>
      </c>
      <c r="Y80" s="28"/>
      <c r="Z80" s="28"/>
      <c r="AA80" s="28"/>
      <c r="AB80" s="35" t="e">
        <f>VLOOKUP(E80,#REF!, 12, FALSE)</f>
        <v>#REF!</v>
      </c>
      <c r="AC80" s="40" t="s">
        <v>1966</v>
      </c>
      <c r="AD80" s="19" t="s">
        <v>1967</v>
      </c>
      <c r="AE80" s="19" t="s">
        <v>1968</v>
      </c>
      <c r="AF80" s="19" t="s">
        <v>1969</v>
      </c>
      <c r="AG80" s="19" t="s">
        <v>1970</v>
      </c>
      <c r="AH80" s="19" t="s">
        <v>1971</v>
      </c>
      <c r="AI80" s="19" t="s">
        <v>1972</v>
      </c>
      <c r="AJ80" s="19" t="s">
        <v>1973</v>
      </c>
      <c r="AK80" s="41"/>
      <c r="AL80" s="41"/>
      <c r="AM80" s="26" t="s">
        <v>1974</v>
      </c>
      <c r="AN80" s="27"/>
      <c r="AO80" s="38" t="s">
        <v>1975</v>
      </c>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36"/>
      <c r="BT80" s="27" t="s">
        <v>173</v>
      </c>
      <c r="BU80" s="42" t="s">
        <v>151</v>
      </c>
      <c r="BV80" s="28" t="e">
        <f t="shared" ca="1" si="2"/>
        <v>#NAME?</v>
      </c>
      <c r="BW80" s="28"/>
      <c r="BX80" s="26" t="str">
        <f t="shared" si="44"/>
        <v>logo (1).png</v>
      </c>
      <c r="BY80" s="28" t="s">
        <v>562</v>
      </c>
      <c r="BZ80" s="26" t="s">
        <v>1976</v>
      </c>
      <c r="CA80" s="26" t="s">
        <v>544</v>
      </c>
      <c r="CB80" s="28"/>
      <c r="CC80" s="28"/>
      <c r="CD80" s="28"/>
      <c r="CE80" s="28"/>
      <c r="CF80" s="28"/>
      <c r="CG80" s="28"/>
    </row>
    <row r="81" spans="1:85" ht="15.75" customHeight="1" x14ac:dyDescent="0.2">
      <c r="A81" s="27" t="b">
        <v>1</v>
      </c>
      <c r="B81" s="31" t="s">
        <v>1977</v>
      </c>
      <c r="C81" s="69" t="s">
        <v>1896</v>
      </c>
      <c r="D81" s="27" t="s">
        <v>409</v>
      </c>
      <c r="E81" s="70" t="s">
        <v>1978</v>
      </c>
      <c r="F81" s="27" t="s">
        <v>1979</v>
      </c>
      <c r="G81" s="27" t="str">
        <f t="shared" si="0"/>
        <v>b19d9e1c-b666-48c4-9309-ad286ec1dbd2s_w256.webp</v>
      </c>
      <c r="H81" s="27" t="s">
        <v>1980</v>
      </c>
      <c r="I81" s="55" t="s">
        <v>1981</v>
      </c>
      <c r="J81" s="55" t="s">
        <v>1982</v>
      </c>
      <c r="K81" s="45"/>
      <c r="L81" s="26" t="s">
        <v>1983</v>
      </c>
      <c r="M81" s="40" t="s">
        <v>1984</v>
      </c>
      <c r="N81" s="54" t="e">
        <f t="shared" ca="1" si="43"/>
        <v>#NAME?</v>
      </c>
      <c r="O81" s="28"/>
      <c r="P81" s="28"/>
      <c r="Q81" s="36" t="s">
        <v>1985</v>
      </c>
      <c r="R81" s="78" t="s">
        <v>1986</v>
      </c>
      <c r="S81" s="36" t="s">
        <v>1985</v>
      </c>
      <c r="T81" s="36" t="s">
        <v>1987</v>
      </c>
      <c r="U81" s="36" t="s">
        <v>1987</v>
      </c>
      <c r="V81" s="36"/>
      <c r="W81" s="37" t="str">
        <f t="shared" si="39"/>
        <v>https://fb.com/share/1KrkMyDk5F</v>
      </c>
      <c r="X81" s="38" t="s">
        <v>1988</v>
      </c>
      <c r="Y81" s="38" t="s">
        <v>1989</v>
      </c>
      <c r="Z81" s="38" t="s">
        <v>1990</v>
      </c>
      <c r="AA81" s="97" t="s">
        <v>132</v>
      </c>
      <c r="AB81" s="35" t="e">
        <v>#N/A</v>
      </c>
      <c r="AC81" s="55" t="s">
        <v>1991</v>
      </c>
      <c r="AD81" s="26" t="s">
        <v>1992</v>
      </c>
      <c r="AE81" s="26" t="s">
        <v>1993</v>
      </c>
      <c r="AF81" s="26" t="s">
        <v>1994</v>
      </c>
      <c r="AG81" s="26" t="s">
        <v>1995</v>
      </c>
      <c r="AH81" s="26" t="s">
        <v>947</v>
      </c>
      <c r="AI81" s="28"/>
      <c r="AJ81" s="41"/>
      <c r="AK81" s="41"/>
      <c r="AL81" s="41"/>
      <c r="AM81" s="26" t="s">
        <v>1996</v>
      </c>
      <c r="AN81" s="27"/>
      <c r="AO81" s="27"/>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36"/>
      <c r="BT81" s="27" t="s">
        <v>173</v>
      </c>
      <c r="BU81" s="42" t="s">
        <v>151</v>
      </c>
      <c r="BV81" s="28" t="e">
        <f t="shared" ca="1" si="2"/>
        <v>#NAME?</v>
      </c>
      <c r="BW81" s="26" t="s">
        <v>1997</v>
      </c>
      <c r="BX81" s="26" t="str">
        <f t="shared" si="44"/>
        <v>028-Logo-NganHang-Vietinbank.jpg</v>
      </c>
      <c r="BY81" s="28" t="s">
        <v>1998</v>
      </c>
      <c r="BZ81" s="26" t="s">
        <v>1999</v>
      </c>
      <c r="CA81" s="26" t="s">
        <v>1983</v>
      </c>
      <c r="CB81" s="28"/>
      <c r="CC81" s="28"/>
      <c r="CD81" s="28"/>
      <c r="CE81" s="28"/>
      <c r="CF81" s="28"/>
      <c r="CG81" s="28"/>
    </row>
    <row r="82" spans="1:85" ht="15.75" customHeight="1" x14ac:dyDescent="0.2">
      <c r="A82" s="27" t="b">
        <v>1</v>
      </c>
      <c r="B82" s="32" t="s">
        <v>2000</v>
      </c>
      <c r="C82" s="50" t="s">
        <v>1920</v>
      </c>
      <c r="D82" s="27" t="s">
        <v>117</v>
      </c>
      <c r="E82" s="51" t="s">
        <v>2001</v>
      </c>
      <c r="F82" s="26" t="s">
        <v>2002</v>
      </c>
      <c r="G82" s="27" t="str">
        <f t="shared" si="0"/>
        <v>Gemini_Generated_Image_ukb7vmukb7vmukb7_W1024.webp</v>
      </c>
      <c r="H82" s="27" t="s">
        <v>1405</v>
      </c>
      <c r="I82" s="52" t="s">
        <v>2003</v>
      </c>
      <c r="J82" s="52" t="s">
        <v>2004</v>
      </c>
      <c r="K82" s="34" t="s">
        <v>2005</v>
      </c>
      <c r="L82" s="26" t="s">
        <v>2006</v>
      </c>
      <c r="M82" s="53" t="s">
        <v>2007</v>
      </c>
      <c r="N82" s="54" t="e">
        <f t="shared" ca="1" si="43"/>
        <v>#NAME?</v>
      </c>
      <c r="O82" s="28"/>
      <c r="P82" s="28"/>
      <c r="Q82" s="36" t="s">
        <v>2008</v>
      </c>
      <c r="R82" s="78" t="s">
        <v>2009</v>
      </c>
      <c r="S82" s="36" t="s">
        <v>2008</v>
      </c>
      <c r="T82" s="36" t="s">
        <v>2010</v>
      </c>
      <c r="U82" s="36" t="s">
        <v>2010</v>
      </c>
      <c r="V82" s="36"/>
      <c r="W82" s="47">
        <f t="shared" si="39"/>
        <v>0</v>
      </c>
      <c r="X82" s="38" t="s">
        <v>2011</v>
      </c>
      <c r="Y82" s="28"/>
      <c r="Z82" s="28"/>
      <c r="AA82" s="97" t="s">
        <v>132</v>
      </c>
      <c r="AB82" s="35"/>
      <c r="AC82" s="40" t="s">
        <v>2012</v>
      </c>
      <c r="AD82" s="19" t="s">
        <v>2013</v>
      </c>
      <c r="AE82" s="19" t="s">
        <v>2014</v>
      </c>
      <c r="AF82" s="19" t="s">
        <v>2015</v>
      </c>
      <c r="AG82" s="19" t="s">
        <v>2016</v>
      </c>
      <c r="AH82" s="19" t="s">
        <v>2017</v>
      </c>
      <c r="AI82" s="19" t="s">
        <v>2018</v>
      </c>
      <c r="AJ82" s="19" t="s">
        <v>2019</v>
      </c>
      <c r="AK82" s="41"/>
      <c r="AL82" s="41"/>
      <c r="AM82" s="26" t="s">
        <v>2020</v>
      </c>
      <c r="AN82" s="18"/>
      <c r="AO82" s="38" t="s">
        <v>2021</v>
      </c>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36"/>
      <c r="BT82" s="27" t="s">
        <v>173</v>
      </c>
      <c r="BU82" s="42" t="s">
        <v>151</v>
      </c>
      <c r="BV82" s="28" t="e">
        <f t="shared" ca="1" si="2"/>
        <v>#NAME?</v>
      </c>
      <c r="BW82" s="28"/>
      <c r="BX82" s="26" t="str">
        <f t="shared" si="44"/>
        <v>logo-j8D-_nW5.jpg</v>
      </c>
      <c r="BY82" s="28" t="s">
        <v>2022</v>
      </c>
      <c r="BZ82" s="26" t="s">
        <v>2002</v>
      </c>
      <c r="CA82" s="26" t="s">
        <v>2006</v>
      </c>
      <c r="CB82" s="28"/>
      <c r="CC82" s="28"/>
      <c r="CD82" s="28"/>
      <c r="CE82" s="28"/>
      <c r="CF82" s="28"/>
      <c r="CG82" s="28"/>
    </row>
    <row r="83" spans="1:85" ht="15.75" customHeight="1" x14ac:dyDescent="0.2">
      <c r="A83" s="27" t="b">
        <v>1</v>
      </c>
      <c r="B83" s="32" t="s">
        <v>2023</v>
      </c>
      <c r="C83" s="69" t="s">
        <v>1977</v>
      </c>
      <c r="D83" s="27" t="s">
        <v>117</v>
      </c>
      <c r="E83" s="70" t="s">
        <v>2024</v>
      </c>
      <c r="F83" s="27" t="s">
        <v>2025</v>
      </c>
      <c r="G83" s="27" t="str">
        <f t="shared" si="0"/>
        <v>DKW9C_w256.webp</v>
      </c>
      <c r="H83" s="26" t="s">
        <v>2026</v>
      </c>
      <c r="I83" s="55" t="s">
        <v>2027</v>
      </c>
      <c r="J83" s="55" t="s">
        <v>2028</v>
      </c>
      <c r="K83" s="45" t="s">
        <v>2029</v>
      </c>
      <c r="L83" s="26" t="s">
        <v>2030</v>
      </c>
      <c r="M83" s="53" t="s">
        <v>2031</v>
      </c>
      <c r="N83" s="54" t="e">
        <f t="shared" ca="1" si="43"/>
        <v>#NAME?</v>
      </c>
      <c r="O83" s="28"/>
      <c r="P83" s="28"/>
      <c r="Q83" s="78" t="s">
        <v>2032</v>
      </c>
      <c r="R83" s="78" t="s">
        <v>2033</v>
      </c>
      <c r="S83" s="36" t="str">
        <f t="shared" ref="S83:S85" si="45">Q83</f>
        <v>0971010101</v>
      </c>
      <c r="T83" s="36" t="str">
        <f t="shared" ref="T83:T85" si="46">"84"&amp;IF(LEN(Q83)=10, RIGHT(Q83,9), Q83)</f>
        <v>84971010101</v>
      </c>
      <c r="U83" s="36" t="str">
        <f t="shared" ref="U83:U85" si="47">"84"&amp;IF(LEN(Q83)=10, RIGHT(Q83,9), Q83)</f>
        <v>84971010101</v>
      </c>
      <c r="V83" s="36"/>
      <c r="W83" s="47">
        <f t="shared" si="39"/>
        <v>0</v>
      </c>
      <c r="X83" s="38" t="s">
        <v>2034</v>
      </c>
      <c r="Y83" s="28"/>
      <c r="Z83" s="28"/>
      <c r="AA83" s="115"/>
      <c r="AB83" s="35"/>
      <c r="AC83" s="71" t="s">
        <v>2035</v>
      </c>
      <c r="AD83" s="19" t="s">
        <v>2036</v>
      </c>
      <c r="AE83" s="19" t="s">
        <v>2037</v>
      </c>
      <c r="AF83" s="19" t="s">
        <v>2038</v>
      </c>
      <c r="AG83" s="19" t="s">
        <v>2039</v>
      </c>
      <c r="AH83" s="19" t="s">
        <v>2040</v>
      </c>
      <c r="AI83" s="19" t="s">
        <v>2041</v>
      </c>
      <c r="AJ83" s="19" t="s">
        <v>2042</v>
      </c>
      <c r="AK83" s="41"/>
      <c r="AL83" s="41"/>
      <c r="AM83" s="28"/>
      <c r="AN83" s="27"/>
      <c r="AO83" s="38" t="s">
        <v>2043</v>
      </c>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7" t="s">
        <v>173</v>
      </c>
      <c r="BU83" s="42" t="s">
        <v>151</v>
      </c>
      <c r="BV83" s="28" t="e">
        <f t="shared" ca="1" si="2"/>
        <v>#NAME?</v>
      </c>
      <c r="BW83" s="28"/>
      <c r="BX83" s="26" t="str">
        <f t="shared" si="44"/>
        <v>main-logo.png</v>
      </c>
      <c r="BY83" s="28" t="s">
        <v>2044</v>
      </c>
      <c r="BZ83" s="26" t="s">
        <v>2045</v>
      </c>
      <c r="CA83" s="26" t="s">
        <v>2030</v>
      </c>
      <c r="CB83" s="28"/>
      <c r="CC83" s="28"/>
      <c r="CD83" s="28"/>
      <c r="CE83" s="28"/>
      <c r="CF83" s="28"/>
      <c r="CG83" s="28"/>
    </row>
    <row r="84" spans="1:85" ht="15.75" customHeight="1" x14ac:dyDescent="0.2">
      <c r="A84" s="27" t="b">
        <v>1</v>
      </c>
      <c r="B84" s="32" t="s">
        <v>2046</v>
      </c>
      <c r="C84" s="50" t="s">
        <v>2000</v>
      </c>
      <c r="D84" s="27" t="s">
        <v>117</v>
      </c>
      <c r="E84" s="51" t="s">
        <v>2047</v>
      </c>
      <c r="F84" s="27" t="s">
        <v>2048</v>
      </c>
      <c r="G84" s="27" t="str">
        <f t="shared" si="0"/>
        <v>3d574f9d-1fb9-42e4-8ee2-a9ac45d02fc9_w256.webp</v>
      </c>
      <c r="H84" s="26" t="s">
        <v>833</v>
      </c>
      <c r="I84" s="52" t="s">
        <v>2049</v>
      </c>
      <c r="J84" s="52" t="s">
        <v>2050</v>
      </c>
      <c r="K84" s="34"/>
      <c r="L84" s="26" t="s">
        <v>2051</v>
      </c>
      <c r="M84" s="46" t="e">
        <f ca="1">IF(ISERROR(VLOOKUP(E84,#REF!, 4, FALSE)), IF(OR(ISERROR(VLOOKUP(Q84,#REF!, 25, FALSE)), ISBLANK(VLOOKUP(Q84,#REF!, 25, FALSE))), BV84, VLOOKUP(Q84,#REF!, 25, FALSE)), VLOOKUP(E84,#REF!, 4, FALSE))</f>
        <v>#NAME?</v>
      </c>
      <c r="N84" s="54" t="e">
        <f t="shared" ca="1" si="43"/>
        <v>#NAME?</v>
      </c>
      <c r="O84" s="28"/>
      <c r="P84" s="28"/>
      <c r="Q84" s="78" t="s">
        <v>2052</v>
      </c>
      <c r="R84" s="78" t="s">
        <v>2053</v>
      </c>
      <c r="S84" s="36" t="str">
        <f t="shared" si="45"/>
        <v>0984400752</v>
      </c>
      <c r="T84" s="36" t="str">
        <f t="shared" si="46"/>
        <v>84984400752</v>
      </c>
      <c r="U84" s="36" t="str">
        <f t="shared" si="47"/>
        <v>84984400752</v>
      </c>
      <c r="V84" s="36"/>
      <c r="W84" s="47">
        <f t="shared" si="39"/>
        <v>0</v>
      </c>
      <c r="X84" s="38" t="s">
        <v>2054</v>
      </c>
      <c r="Y84" s="28"/>
      <c r="Z84" s="28"/>
      <c r="AA84" s="97" t="s">
        <v>132</v>
      </c>
      <c r="AB84" s="35"/>
      <c r="AC84" s="40" t="s">
        <v>2055</v>
      </c>
      <c r="AD84" s="19" t="s">
        <v>2056</v>
      </c>
      <c r="AE84" s="19" t="s">
        <v>2057</v>
      </c>
      <c r="AF84" s="19" t="s">
        <v>2058</v>
      </c>
      <c r="AG84" s="19" t="s">
        <v>2059</v>
      </c>
      <c r="AH84" s="19" t="s">
        <v>2060</v>
      </c>
      <c r="AI84" s="19" t="s">
        <v>2061</v>
      </c>
      <c r="AJ84" s="19" t="s">
        <v>2062</v>
      </c>
      <c r="AK84" s="41"/>
      <c r="AL84" s="41"/>
      <c r="AM84" s="19" t="s">
        <v>2063</v>
      </c>
      <c r="AN84" s="27"/>
      <c r="AO84" s="26" t="s">
        <v>2064</v>
      </c>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7" t="s">
        <v>173</v>
      </c>
      <c r="BU84" s="42" t="s">
        <v>151</v>
      </c>
      <c r="BV84" s="28" t="e">
        <f t="shared" ca="1" si="2"/>
        <v>#NAME?</v>
      </c>
      <c r="BW84" s="28"/>
      <c r="BX84" s="26" t="str">
        <f t="shared" si="44"/>
        <v>Thumbnail-Youtube-Startup-wheel-2.jpg</v>
      </c>
      <c r="BY84" s="28" t="s">
        <v>2065</v>
      </c>
      <c r="BZ84" s="26" t="s">
        <v>2066</v>
      </c>
      <c r="CA84" s="26" t="s">
        <v>2051</v>
      </c>
      <c r="CB84" s="28"/>
      <c r="CC84" s="28"/>
      <c r="CD84" s="28"/>
      <c r="CE84" s="28"/>
      <c r="CF84" s="28"/>
      <c r="CG84" s="28"/>
    </row>
    <row r="85" spans="1:85" ht="15.75" customHeight="1" x14ac:dyDescent="0.2">
      <c r="A85" s="27" t="b">
        <v>1</v>
      </c>
      <c r="B85" s="32" t="s">
        <v>2067</v>
      </c>
      <c r="C85" s="69" t="s">
        <v>2023</v>
      </c>
      <c r="D85" s="27" t="s">
        <v>117</v>
      </c>
      <c r="E85" s="70" t="s">
        <v>2068</v>
      </c>
      <c r="F85" s="27" t="s">
        <v>2069</v>
      </c>
      <c r="G85" s="27" t="str">
        <f t="shared" si="0"/>
        <v>8a6c580f-fec2-4998-b779-e4b5a05773dc_w256.webp</v>
      </c>
      <c r="H85" s="26" t="s">
        <v>2070</v>
      </c>
      <c r="I85" s="70" t="str">
        <f>UPPER("Công ty TNHH Kỹ thuật Sago Capital")</f>
        <v>CÔNG TY TNHH KỸ THUẬT SAGO CAPITAL</v>
      </c>
      <c r="J85" s="55" t="s">
        <v>2071</v>
      </c>
      <c r="K85" s="45" t="s">
        <v>2072</v>
      </c>
      <c r="L85" s="26" t="s">
        <v>2073</v>
      </c>
      <c r="M85" s="53" t="s">
        <v>2074</v>
      </c>
      <c r="N85" s="54" t="e">
        <f t="shared" ca="1" si="43"/>
        <v>#NAME?</v>
      </c>
      <c r="O85" s="28"/>
      <c r="P85" s="28"/>
      <c r="Q85" s="84" t="s">
        <v>2075</v>
      </c>
      <c r="R85" s="84" t="s">
        <v>2076</v>
      </c>
      <c r="S85" s="36" t="str">
        <f t="shared" si="45"/>
        <v>0902619356</v>
      </c>
      <c r="T85" s="36" t="str">
        <f t="shared" si="46"/>
        <v>84902619356</v>
      </c>
      <c r="U85" s="36" t="str">
        <f t="shared" si="47"/>
        <v>84902619356</v>
      </c>
      <c r="V85" s="36"/>
      <c r="W85" s="47"/>
      <c r="X85" s="38" t="s">
        <v>2077</v>
      </c>
      <c r="Y85" s="28"/>
      <c r="Z85" s="28"/>
      <c r="AA85" s="115"/>
      <c r="AB85" s="35"/>
      <c r="AC85" s="71" t="s">
        <v>2078</v>
      </c>
      <c r="AD85" s="19" t="s">
        <v>2079</v>
      </c>
      <c r="AE85" s="19" t="s">
        <v>2080</v>
      </c>
      <c r="AF85" s="19" t="s">
        <v>2081</v>
      </c>
      <c r="AG85" s="19" t="s">
        <v>2082</v>
      </c>
      <c r="AH85" s="19" t="s">
        <v>2083</v>
      </c>
      <c r="AI85" s="19" t="s">
        <v>2084</v>
      </c>
      <c r="AJ85" s="19" t="s">
        <v>2085</v>
      </c>
      <c r="AK85" s="41"/>
      <c r="AL85" s="41"/>
      <c r="AM85" s="26" t="s">
        <v>2086</v>
      </c>
      <c r="AN85" s="27"/>
      <c r="AO85" s="26" t="s">
        <v>2087</v>
      </c>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7" t="s">
        <v>173</v>
      </c>
      <c r="BU85" s="42" t="s">
        <v>151</v>
      </c>
      <c r="BV85" s="28" t="e">
        <f t="shared" ca="1" si="2"/>
        <v>#NAME?</v>
      </c>
      <c r="BW85" s="28"/>
      <c r="BX85" s="26" t="str">
        <f t="shared" si="44"/>
        <v>97ddbdf1fc6f72312b7e.jpg</v>
      </c>
      <c r="BY85" s="28" t="s">
        <v>2088</v>
      </c>
      <c r="BZ85" s="26" t="s">
        <v>2089</v>
      </c>
      <c r="CA85" s="26" t="s">
        <v>2073</v>
      </c>
      <c r="CB85" s="28"/>
      <c r="CC85" s="28"/>
      <c r="CD85" s="28"/>
      <c r="CE85" s="28"/>
      <c r="CF85" s="28"/>
      <c r="CG85" s="28"/>
    </row>
    <row r="86" spans="1:85" ht="15.75" customHeight="1" x14ac:dyDescent="0.2">
      <c r="A86" s="27" t="b">
        <v>1</v>
      </c>
      <c r="B86" s="32" t="s">
        <v>2090</v>
      </c>
      <c r="C86" s="50" t="s">
        <v>2046</v>
      </c>
      <c r="D86" s="27" t="s">
        <v>117</v>
      </c>
      <c r="E86" s="51" t="s">
        <v>2091</v>
      </c>
      <c r="F86" s="27" t="s">
        <v>2092</v>
      </c>
      <c r="G86" s="27" t="str">
        <f t="shared" si="0"/>
        <v>7ed3fd50-f3cb-4daf-be73-837bb166545c_w256.webp</v>
      </c>
      <c r="H86" s="19" t="s">
        <v>2093</v>
      </c>
      <c r="I86" s="52" t="s">
        <v>2094</v>
      </c>
      <c r="J86" s="52" t="s">
        <v>2095</v>
      </c>
      <c r="K86" s="34" t="s">
        <v>2096</v>
      </c>
      <c r="L86" s="26" t="s">
        <v>599</v>
      </c>
      <c r="M86" s="53" t="s">
        <v>2097</v>
      </c>
      <c r="N86" s="54" t="e">
        <f t="shared" ca="1" si="43"/>
        <v>#NAME?</v>
      </c>
      <c r="O86" s="28"/>
      <c r="P86" s="28"/>
      <c r="Q86" s="36" t="s">
        <v>2098</v>
      </c>
      <c r="R86" s="78" t="s">
        <v>2099</v>
      </c>
      <c r="S86" s="36" t="s">
        <v>2098</v>
      </c>
      <c r="T86" s="36" t="s">
        <v>2100</v>
      </c>
      <c r="U86" s="36" t="s">
        <v>2100</v>
      </c>
      <c r="V86" s="36"/>
      <c r="W86" s="47">
        <f>Y86</f>
        <v>0</v>
      </c>
      <c r="X86" s="38" t="s">
        <v>2101</v>
      </c>
      <c r="Y86" s="28"/>
      <c r="Z86" s="28"/>
      <c r="AA86" s="115"/>
      <c r="AB86" s="35"/>
      <c r="AC86" s="40" t="s">
        <v>2102</v>
      </c>
      <c r="AD86" s="19" t="s">
        <v>2103</v>
      </c>
      <c r="AE86" s="19" t="s">
        <v>2104</v>
      </c>
      <c r="AF86" s="19" t="s">
        <v>2105</v>
      </c>
      <c r="AG86" s="19" t="s">
        <v>2106</v>
      </c>
      <c r="AH86" s="19" t="s">
        <v>901</v>
      </c>
      <c r="AI86" s="19" t="s">
        <v>2107</v>
      </c>
      <c r="AJ86" s="19" t="s">
        <v>2108</v>
      </c>
      <c r="AK86" s="41"/>
      <c r="AL86" s="41"/>
      <c r="AM86" s="19" t="s">
        <v>2109</v>
      </c>
      <c r="AN86" s="27"/>
      <c r="AO86" s="26" t="s">
        <v>2110</v>
      </c>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36"/>
      <c r="BT86" s="27" t="s">
        <v>173</v>
      </c>
      <c r="BU86" s="42" t="s">
        <v>151</v>
      </c>
      <c r="BV86" s="28" t="e">
        <f t="shared" ca="1" si="2"/>
        <v>#NAME?</v>
      </c>
      <c r="BW86" s="28"/>
      <c r="BX86" s="26" t="str">
        <f t="shared" si="44"/>
        <v>unnamed.png</v>
      </c>
      <c r="BY86" s="28" t="s">
        <v>614</v>
      </c>
      <c r="BZ86" s="26" t="s">
        <v>2111</v>
      </c>
      <c r="CA86" s="26" t="s">
        <v>599</v>
      </c>
      <c r="CB86" s="28"/>
      <c r="CC86" s="28"/>
      <c r="CD86" s="28"/>
      <c r="CE86" s="28"/>
      <c r="CF86" s="28"/>
      <c r="CG86" s="28"/>
    </row>
    <row r="87" spans="1:85" ht="15.75" customHeight="1" x14ac:dyDescent="0.2">
      <c r="A87" s="27" t="b">
        <v>1</v>
      </c>
      <c r="B87" s="32" t="s">
        <v>755</v>
      </c>
      <c r="C87" s="69" t="s">
        <v>2067</v>
      </c>
      <c r="D87" s="27" t="s">
        <v>409</v>
      </c>
      <c r="E87" s="55" t="s">
        <v>2112</v>
      </c>
      <c r="F87" s="27" t="s">
        <v>2113</v>
      </c>
      <c r="G87" s="27" t="str">
        <f t="shared" si="0"/>
        <v>FjQpH_w256.webp</v>
      </c>
      <c r="H87" s="27" t="s">
        <v>1279</v>
      </c>
      <c r="I87" s="55" t="s">
        <v>2114</v>
      </c>
      <c r="J87" s="55" t="s">
        <v>2115</v>
      </c>
      <c r="K87" s="45"/>
      <c r="L87" s="26" t="s">
        <v>2116</v>
      </c>
      <c r="M87" s="53" t="s">
        <v>2117</v>
      </c>
      <c r="N87" s="54" t="e">
        <f t="shared" ca="1" si="43"/>
        <v>#NAME?</v>
      </c>
      <c r="O87" s="26" t="s">
        <v>2118</v>
      </c>
      <c r="P87" s="54" t="e">
        <f ca="1">p_GMapLink(O87)</f>
        <v>#NAME?</v>
      </c>
      <c r="Q87" s="36" t="s">
        <v>2119</v>
      </c>
      <c r="R87" s="36" t="s">
        <v>2120</v>
      </c>
      <c r="S87" s="36" t="s">
        <v>2119</v>
      </c>
      <c r="T87" s="36" t="s">
        <v>2121</v>
      </c>
      <c r="U87" s="36" t="s">
        <v>2121</v>
      </c>
      <c r="V87" s="36"/>
      <c r="W87" s="47"/>
      <c r="X87" s="38" t="s">
        <v>2122</v>
      </c>
      <c r="Y87" s="28"/>
      <c r="Z87" s="28"/>
      <c r="AA87" s="115"/>
      <c r="AB87" s="35"/>
      <c r="AC87" s="71" t="s">
        <v>2123</v>
      </c>
      <c r="AD87" s="19" t="s">
        <v>2124</v>
      </c>
      <c r="AE87" s="19" t="s">
        <v>2125</v>
      </c>
      <c r="AF87" s="19" t="s">
        <v>2126</v>
      </c>
      <c r="AG87" s="19" t="s">
        <v>2127</v>
      </c>
      <c r="AH87" s="19" t="s">
        <v>2128</v>
      </c>
      <c r="AI87" s="19" t="s">
        <v>2129</v>
      </c>
      <c r="AJ87" s="19" t="s">
        <v>2130</v>
      </c>
      <c r="AK87" s="41"/>
      <c r="AL87" s="41"/>
      <c r="AM87" s="26" t="s">
        <v>2131</v>
      </c>
      <c r="AN87" s="27"/>
      <c r="AO87" s="26" t="s">
        <v>2132</v>
      </c>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36"/>
      <c r="BT87" s="27" t="s">
        <v>173</v>
      </c>
      <c r="BU87" s="42" t="s">
        <v>151</v>
      </c>
      <c r="BV87" s="28" t="e">
        <f t="shared" ca="1" si="2"/>
        <v>#NAME?</v>
      </c>
      <c r="BW87" s="28"/>
      <c r="BX87" s="26" t="str">
        <f t="shared" si="44"/>
        <v>site-logo-1-105x70.png</v>
      </c>
      <c r="BY87" s="28" t="s">
        <v>2133</v>
      </c>
      <c r="BZ87" s="26" t="s">
        <v>2134</v>
      </c>
      <c r="CA87" s="26" t="s">
        <v>2116</v>
      </c>
      <c r="CB87" s="28"/>
      <c r="CC87" s="28"/>
      <c r="CD87" s="28"/>
      <c r="CE87" s="28"/>
      <c r="CF87" s="28"/>
      <c r="CG87" s="28"/>
    </row>
    <row r="88" spans="1:85" ht="15.75" customHeight="1" x14ac:dyDescent="0.2">
      <c r="A88" s="27" t="b">
        <v>1</v>
      </c>
      <c r="B88" s="32" t="s">
        <v>2135</v>
      </c>
      <c r="C88" s="50" t="s">
        <v>2090</v>
      </c>
      <c r="D88" s="27" t="s">
        <v>409</v>
      </c>
      <c r="E88" s="51" t="s">
        <v>2136</v>
      </c>
      <c r="F88" s="27" t="s">
        <v>2137</v>
      </c>
      <c r="G88" s="27" t="str">
        <f t="shared" si="0"/>
        <v>A085_CAO DUYÊN_w256.webp</v>
      </c>
      <c r="H88" s="27" t="s">
        <v>2138</v>
      </c>
      <c r="I88" s="51" t="s">
        <v>2139</v>
      </c>
      <c r="J88" s="52" t="s">
        <v>2140</v>
      </c>
      <c r="K88" s="34" t="s">
        <v>2141</v>
      </c>
      <c r="L88" s="26" t="s">
        <v>2142</v>
      </c>
      <c r="M88" s="46" t="s">
        <v>2143</v>
      </c>
      <c r="N88" s="54" t="e">
        <f t="shared" ca="1" si="43"/>
        <v>#NAME?</v>
      </c>
      <c r="O88" s="26"/>
      <c r="P88" s="28"/>
      <c r="Q88" s="36" t="s">
        <v>2144</v>
      </c>
      <c r="R88" s="116" t="s">
        <v>2145</v>
      </c>
      <c r="S88" s="36" t="s">
        <v>2144</v>
      </c>
      <c r="T88" s="36" t="s">
        <v>2146</v>
      </c>
      <c r="U88" s="36" t="s">
        <v>2146</v>
      </c>
      <c r="V88" s="36"/>
      <c r="W88" s="47">
        <f>Y88</f>
        <v>0</v>
      </c>
      <c r="X88" s="38" t="s">
        <v>2147</v>
      </c>
      <c r="Y88" s="28"/>
      <c r="Z88" s="28"/>
      <c r="AA88" s="97" t="s">
        <v>132</v>
      </c>
      <c r="AB88" s="35"/>
      <c r="AC88" s="40" t="s">
        <v>2148</v>
      </c>
      <c r="AD88" s="19" t="s">
        <v>2149</v>
      </c>
      <c r="AE88" s="19" t="s">
        <v>2150</v>
      </c>
      <c r="AF88" s="19" t="s">
        <v>2151</v>
      </c>
      <c r="AG88" s="19" t="s">
        <v>2152</v>
      </c>
      <c r="AH88" s="19" t="s">
        <v>2153</v>
      </c>
      <c r="AI88" s="19" t="s">
        <v>2154</v>
      </c>
      <c r="AJ88" s="19" t="s">
        <v>2155</v>
      </c>
      <c r="AK88" s="41"/>
      <c r="AL88" s="41"/>
      <c r="AM88" s="26" t="s">
        <v>2156</v>
      </c>
      <c r="AN88" s="27"/>
      <c r="AO88" s="38" t="s">
        <v>2157</v>
      </c>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36"/>
      <c r="BT88" s="27" t="s">
        <v>173</v>
      </c>
      <c r="BU88" s="42" t="s">
        <v>151</v>
      </c>
      <c r="BV88" s="28" t="e">
        <f t="shared" ca="1" si="2"/>
        <v>#NAME?</v>
      </c>
      <c r="BW88" s="28"/>
      <c r="BX88" s="26" t="str">
        <f t="shared" si="44"/>
        <v>cropped-Logo-forganic-green (1).png</v>
      </c>
      <c r="BY88" s="28" t="s">
        <v>2158</v>
      </c>
      <c r="BZ88" s="26" t="s">
        <v>2159</v>
      </c>
      <c r="CA88" s="26" t="s">
        <v>2142</v>
      </c>
      <c r="CB88" s="28"/>
      <c r="CC88" s="28"/>
      <c r="CD88" s="28"/>
      <c r="CE88" s="28"/>
      <c r="CF88" s="28"/>
      <c r="CG88" s="28"/>
    </row>
    <row r="89" spans="1:85" ht="15.75" customHeight="1" x14ac:dyDescent="0.2">
      <c r="A89" s="27" t="b">
        <v>1</v>
      </c>
      <c r="B89" s="32" t="s">
        <v>2160</v>
      </c>
      <c r="C89" s="69" t="s">
        <v>2135</v>
      </c>
      <c r="D89" s="27" t="s">
        <v>117</v>
      </c>
      <c r="E89" s="70" t="s">
        <v>2161</v>
      </c>
      <c r="F89" s="27" t="s">
        <v>2162</v>
      </c>
      <c r="G89" s="27" t="str">
        <f t="shared" si="0"/>
        <v>zRnVd_w256.webp</v>
      </c>
      <c r="H89" s="26" t="s">
        <v>2163</v>
      </c>
      <c r="I89" s="55" t="s">
        <v>2164</v>
      </c>
      <c r="J89" s="55" t="s">
        <v>2165</v>
      </c>
      <c r="K89" s="45"/>
      <c r="L89" s="26" t="s">
        <v>2166</v>
      </c>
      <c r="M89" s="53" t="s">
        <v>2167</v>
      </c>
      <c r="N89" s="54" t="e">
        <f t="shared" ca="1" si="43"/>
        <v>#NAME?</v>
      </c>
      <c r="O89" s="28"/>
      <c r="P89" s="28"/>
      <c r="Q89" s="117" t="s">
        <v>2168</v>
      </c>
      <c r="R89" s="78" t="s">
        <v>2169</v>
      </c>
      <c r="S89" s="36" t="str">
        <f t="shared" ref="S89:S90" si="48">Q89</f>
        <v>0949754769</v>
      </c>
      <c r="T89" s="36" t="str">
        <f t="shared" ref="T89:T90" si="49">"84"&amp;IF(LEN(Q89)=10, RIGHT(Q89,9), Q89)</f>
        <v>84949754769</v>
      </c>
      <c r="U89" s="36" t="str">
        <f t="shared" ref="U89:U90" si="50">"84"&amp;IF(LEN(Q89)=10, RIGHT(Q89,9), Q89)</f>
        <v>84949754769</v>
      </c>
      <c r="V89" s="36"/>
      <c r="W89" s="47"/>
      <c r="X89" s="118" t="s">
        <v>2170</v>
      </c>
      <c r="Y89" s="28"/>
      <c r="Z89" s="28"/>
      <c r="AA89" s="115"/>
      <c r="AB89" s="35"/>
      <c r="AC89" s="71" t="s">
        <v>2171</v>
      </c>
      <c r="AD89" s="19" t="s">
        <v>2172</v>
      </c>
      <c r="AE89" s="19" t="s">
        <v>2173</v>
      </c>
      <c r="AF89" s="19" t="s">
        <v>2174</v>
      </c>
      <c r="AG89" s="19" t="s">
        <v>2175</v>
      </c>
      <c r="AH89" s="19" t="s">
        <v>2176</v>
      </c>
      <c r="AI89" s="19" t="s">
        <v>2177</v>
      </c>
      <c r="AJ89" s="19" t="s">
        <v>2178</v>
      </c>
      <c r="AK89" s="41"/>
      <c r="AL89" s="41"/>
      <c r="AM89" s="28"/>
      <c r="AN89" s="27"/>
      <c r="AO89" s="27"/>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7" t="s">
        <v>173</v>
      </c>
      <c r="BU89" s="42" t="s">
        <v>151</v>
      </c>
      <c r="BV89" s="28" t="e">
        <f t="shared" ca="1" si="2"/>
        <v>#NAME?</v>
      </c>
      <c r="BW89" s="28"/>
      <c r="BX89" s="28"/>
      <c r="BY89" s="28" t="s">
        <v>2162</v>
      </c>
      <c r="BZ89" s="26" t="s">
        <v>2179</v>
      </c>
      <c r="CA89" s="26" t="s">
        <v>2166</v>
      </c>
      <c r="CB89" s="28"/>
      <c r="CC89" s="28"/>
      <c r="CD89" s="28"/>
      <c r="CE89" s="28"/>
      <c r="CF89" s="28"/>
      <c r="CG89" s="28"/>
    </row>
    <row r="90" spans="1:85" ht="15.75" customHeight="1" x14ac:dyDescent="0.2">
      <c r="A90" s="27" t="b">
        <v>1</v>
      </c>
      <c r="B90" s="114" t="s">
        <v>688</v>
      </c>
      <c r="C90" s="50" t="s">
        <v>2160</v>
      </c>
      <c r="D90" s="27" t="s">
        <v>117</v>
      </c>
      <c r="E90" s="51" t="s">
        <v>2180</v>
      </c>
      <c r="F90" s="27" t="s">
        <v>2181</v>
      </c>
      <c r="G90" s="27" t="str">
        <f t="shared" si="0"/>
        <v>1c20cafe-8363-481b-b025-4e08c9a0deb9_w256.webp</v>
      </c>
      <c r="H90" s="26" t="s">
        <v>833</v>
      </c>
      <c r="I90" s="52" t="s">
        <v>2182</v>
      </c>
      <c r="J90" s="52" t="s">
        <v>2183</v>
      </c>
      <c r="K90" s="34"/>
      <c r="L90" s="26" t="s">
        <v>2184</v>
      </c>
      <c r="M90" s="53" t="s">
        <v>2185</v>
      </c>
      <c r="N90" s="54" t="e">
        <f t="shared" ca="1" si="43"/>
        <v>#NAME?</v>
      </c>
      <c r="O90" s="28"/>
      <c r="P90" s="28"/>
      <c r="Q90" s="78" t="s">
        <v>2186</v>
      </c>
      <c r="R90" s="86" t="s">
        <v>2187</v>
      </c>
      <c r="S90" s="36" t="str">
        <f t="shared" si="48"/>
        <v>0987761999</v>
      </c>
      <c r="T90" s="36" t="str">
        <f t="shared" si="49"/>
        <v>84987761999</v>
      </c>
      <c r="U90" s="36" t="str">
        <f t="shared" si="50"/>
        <v>84987761999</v>
      </c>
      <c r="V90" s="36"/>
      <c r="W90" s="47">
        <f t="shared" ref="W90:W96" si="51">Y90</f>
        <v>0</v>
      </c>
      <c r="X90" s="119" t="s">
        <v>2188</v>
      </c>
      <c r="Y90" s="28"/>
      <c r="Z90" s="28"/>
      <c r="AA90" s="115"/>
      <c r="AB90" s="35"/>
      <c r="AC90" s="52" t="s">
        <v>2189</v>
      </c>
      <c r="AD90" s="77" t="s">
        <v>2190</v>
      </c>
      <c r="AE90" s="18"/>
      <c r="AF90" s="28"/>
      <c r="AG90" s="28"/>
      <c r="AH90" s="28"/>
      <c r="AI90" s="28"/>
      <c r="AJ90" s="41"/>
      <c r="AK90" s="41"/>
      <c r="AL90" s="41"/>
      <c r="AM90" s="120" t="s">
        <v>2191</v>
      </c>
      <c r="AN90" s="27"/>
      <c r="AO90" s="27"/>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7" t="s">
        <v>173</v>
      </c>
      <c r="BU90" s="42" t="s">
        <v>151</v>
      </c>
      <c r="BV90" s="28" t="e">
        <f t="shared" ca="1" si="2"/>
        <v>#NAME?</v>
      </c>
      <c r="BW90" s="28"/>
      <c r="BX90" s="26" t="str">
        <f t="shared" ref="BX90:BX102" si="52">L90</f>
        <v>21d8f6fe-765e-4add-a750-b10b0a3ec00d.jpg</v>
      </c>
      <c r="BY90" s="28" t="s">
        <v>2192</v>
      </c>
      <c r="BZ90" s="26" t="s">
        <v>2193</v>
      </c>
      <c r="CA90" s="26" t="s">
        <v>2184</v>
      </c>
      <c r="CB90" s="28"/>
      <c r="CC90" s="28"/>
      <c r="CD90" s="28"/>
      <c r="CE90" s="28"/>
      <c r="CF90" s="28"/>
      <c r="CG90" s="28"/>
    </row>
    <row r="91" spans="1:85" ht="15.75" customHeight="1" x14ac:dyDescent="0.2">
      <c r="A91" s="27" t="b">
        <v>1</v>
      </c>
      <c r="B91" s="101" t="s">
        <v>2194</v>
      </c>
      <c r="C91" s="69" t="s">
        <v>2194</v>
      </c>
      <c r="D91" s="27" t="s">
        <v>117</v>
      </c>
      <c r="E91" s="70" t="s">
        <v>2195</v>
      </c>
      <c r="F91" s="26" t="s">
        <v>2196</v>
      </c>
      <c r="G91" s="27" t="str">
        <f t="shared" si="0"/>
        <v>x</v>
      </c>
      <c r="H91" s="27" t="e">
        <f>IF(ISERROR(VLOOKUP(E91,#REF!, 6, FALSE)), VLOOKUP(Q91,#REF!, 22, FALSE), VLOOKUP(E91,#REF!, 6, FALSE))</f>
        <v>#REF!</v>
      </c>
      <c r="I91" s="70" t="s">
        <v>2197</v>
      </c>
      <c r="J91" s="43"/>
      <c r="K91" s="45"/>
      <c r="L91" s="27" t="e">
        <f>VLOOKUP(C91,#REF!, 11, FALSE)</f>
        <v>#REF!</v>
      </c>
      <c r="M91" s="46" t="e">
        <f ca="1">IF(ISERROR(VLOOKUP(E91,#REF!, 4, FALSE)), IF(OR(ISERROR(VLOOKUP(Q91,#REF!, 25, FALSE)), ISBLANK(VLOOKUP(Q91,#REF!, 25, FALSE))), BV91, VLOOKUP(Q91,#REF!, 25, FALSE)), VLOOKUP(E91,#REF!, 4, FALSE))</f>
        <v>#NAME?</v>
      </c>
      <c r="N91" s="54" t="e">
        <f t="shared" ca="1" si="43"/>
        <v>#NAME?</v>
      </c>
      <c r="O91" s="28"/>
      <c r="P91" s="28"/>
      <c r="Q91" s="36" t="s">
        <v>2198</v>
      </c>
      <c r="R91" s="36" t="s">
        <v>2199</v>
      </c>
      <c r="S91" s="36" t="s">
        <v>2198</v>
      </c>
      <c r="T91" s="36" t="s">
        <v>2200</v>
      </c>
      <c r="U91" s="36" t="s">
        <v>2200</v>
      </c>
      <c r="V91" s="36"/>
      <c r="W91" s="47" t="e">
        <f t="shared" si="51"/>
        <v>#REF!</v>
      </c>
      <c r="X91" s="35" t="e">
        <f>IF(ISERROR(VLOOKUP(E91,#REF!, 9, FALSE)), VLOOKUP(Q91,#REF!, 16, FALSE), VLOOKUP(E91,#REF!, 9, FALSE))</f>
        <v>#REF!</v>
      </c>
      <c r="Y91" s="28" t="e">
        <f>VLOOKUP(E91,#REF!, 10, FALSE)</f>
        <v>#REF!</v>
      </c>
      <c r="Z91" s="28" t="e">
        <f>VLOOKUP(E91,#REF!, 11, FALSE)</f>
        <v>#REF!</v>
      </c>
      <c r="AA91" s="97" t="s">
        <v>132</v>
      </c>
      <c r="AB91" s="35" t="e">
        <f>VLOOKUP(E91,#REF!, 12, FALSE)</f>
        <v>#REF!</v>
      </c>
      <c r="AC91" s="70" t="s">
        <v>2201</v>
      </c>
      <c r="AD91" s="111" t="e">
        <f>VLOOKUP(E91,#REF!, 3, FALSE)</f>
        <v>#REF!</v>
      </c>
      <c r="AE91" s="18"/>
      <c r="AF91" s="28"/>
      <c r="AG91" s="28"/>
      <c r="AH91" s="28"/>
      <c r="AI91" s="28"/>
      <c r="AJ91" s="41" t="e">
        <v>#N/A</v>
      </c>
      <c r="AK91" s="41" t="s">
        <v>2202</v>
      </c>
      <c r="AL91" s="41" t="e">
        <v>#N/A</v>
      </c>
      <c r="AM91" s="28"/>
      <c r="AN91" s="27"/>
      <c r="AO91" s="27" t="e">
        <v>#N/A</v>
      </c>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36"/>
      <c r="BT91" s="27" t="s">
        <v>173</v>
      </c>
      <c r="BU91" s="42" t="s">
        <v>1401</v>
      </c>
      <c r="BV91" s="28" t="e">
        <f t="shared" ca="1" si="2"/>
        <v>#NAME?</v>
      </c>
      <c r="BW91" s="28"/>
      <c r="BX91" s="26" t="e">
        <f t="shared" si="52"/>
        <v>#REF!</v>
      </c>
      <c r="BY91" s="28" t="e">
        <v>#VALUE!</v>
      </c>
      <c r="BZ91" s="27" t="e">
        <f>VLOOKUP(BX91,#REF!, 15, FALSE)</f>
        <v>#REF!</v>
      </c>
      <c r="CA91" s="27" t="e">
        <f>IF(ISERROR(VLOOKUP(BT91,#REF!, 11, FALSE)), VLOOKUP(CF91,#REF!, 7, FALSE), VLOOKUP(BT91, BR:CM, 11, FALSE))</f>
        <v>#REF!</v>
      </c>
      <c r="CB91" s="28"/>
      <c r="CC91" s="28"/>
      <c r="CD91" s="28"/>
      <c r="CE91" s="28"/>
      <c r="CF91" s="28"/>
      <c r="CG91" s="28"/>
    </row>
    <row r="92" spans="1:85" ht="15.75" customHeight="1" x14ac:dyDescent="0.2">
      <c r="A92" s="27" t="b">
        <v>1</v>
      </c>
      <c r="B92" s="32" t="s">
        <v>2203</v>
      </c>
      <c r="C92" s="50" t="s">
        <v>2203</v>
      </c>
      <c r="D92" s="27" t="s">
        <v>117</v>
      </c>
      <c r="E92" s="52" t="s">
        <v>2204</v>
      </c>
      <c r="F92" s="27" t="s">
        <v>2205</v>
      </c>
      <c r="G92" s="27" t="str">
        <f t="shared" si="0"/>
        <v>5512065e-6a2b-41bc-b1c1-a96fa5fcb83d_w256.webp</v>
      </c>
      <c r="H92" s="27" t="e">
        <f>IF(ISERROR(VLOOKUP(E92,#REF!, 6, FALSE)), VLOOKUP(Q92,#REF!, 22, FALSE), VLOOKUP(E92,#REF!, 6, FALSE))</f>
        <v>#REF!</v>
      </c>
      <c r="I92" s="51" t="s">
        <v>2206</v>
      </c>
      <c r="J92" s="52" t="s">
        <v>2207</v>
      </c>
      <c r="K92" s="34" t="s">
        <v>2208</v>
      </c>
      <c r="L92" s="26" t="s">
        <v>2209</v>
      </c>
      <c r="M92" s="53" t="s">
        <v>2210</v>
      </c>
      <c r="N92" s="54" t="e">
        <f t="shared" ca="1" si="43"/>
        <v>#NAME?</v>
      </c>
      <c r="O92" s="28"/>
      <c r="P92" s="28"/>
      <c r="Q92" s="78" t="e">
        <f>VLOOKUP(E92,#REF!, 7, FALSE)</f>
        <v>#REF!</v>
      </c>
      <c r="R92" s="78" t="s">
        <v>2211</v>
      </c>
      <c r="S92" s="36" t="e">
        <f t="shared" ref="S92:S93" si="53">Q92</f>
        <v>#REF!</v>
      </c>
      <c r="T92" s="36" t="e">
        <f t="shared" ref="T92:T93" si="54">"84"&amp;IF(LEN(Q92)=10, RIGHT(Q92,9), Q92)</f>
        <v>#REF!</v>
      </c>
      <c r="U92" s="36" t="e">
        <f t="shared" ref="U92:U93" si="55">"84"&amp;IF(LEN(Q92)=10, RIGHT(Q92,9), Q92)</f>
        <v>#REF!</v>
      </c>
      <c r="V92" s="36"/>
      <c r="W92" s="47" t="e">
        <f t="shared" si="51"/>
        <v>#REF!</v>
      </c>
      <c r="X92" s="118" t="s">
        <v>2212</v>
      </c>
      <c r="Y92" s="28" t="e">
        <f>VLOOKUP(E92,#REF!, 10, FALSE)</f>
        <v>#REF!</v>
      </c>
      <c r="Z92" s="28"/>
      <c r="AA92" s="115"/>
      <c r="AB92" s="35"/>
      <c r="AC92" s="77" t="s">
        <v>2213</v>
      </c>
      <c r="AD92" s="77" t="s">
        <v>2214</v>
      </c>
      <c r="AE92" s="77" t="s">
        <v>2215</v>
      </c>
      <c r="AF92" s="77" t="s">
        <v>2216</v>
      </c>
      <c r="AG92" s="28"/>
      <c r="AH92" s="28"/>
      <c r="AI92" s="28"/>
      <c r="AJ92" s="41"/>
      <c r="AK92" s="41"/>
      <c r="AL92" s="41"/>
      <c r="AM92" s="28"/>
      <c r="AN92" s="27"/>
      <c r="AO92" s="27"/>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7" t="s">
        <v>173</v>
      </c>
      <c r="BU92" s="42" t="s">
        <v>151</v>
      </c>
      <c r="BV92" s="28" t="e">
        <f t="shared" ca="1" si="2"/>
        <v>#NAME?</v>
      </c>
      <c r="BW92" s="28"/>
      <c r="BX92" s="26" t="str">
        <f t="shared" si="52"/>
        <v>a4b801bc-7359-4f34-a5d6-c6b4d0865dec.jpg</v>
      </c>
      <c r="BY92" s="28" t="s">
        <v>2217</v>
      </c>
      <c r="BZ92" s="26" t="s">
        <v>2218</v>
      </c>
      <c r="CA92" s="26" t="s">
        <v>2209</v>
      </c>
      <c r="CB92" s="28"/>
      <c r="CC92" s="28"/>
      <c r="CD92" s="28"/>
      <c r="CE92" s="28"/>
      <c r="CF92" s="28"/>
      <c r="CG92" s="28"/>
    </row>
    <row r="93" spans="1:85" ht="15.75" customHeight="1" x14ac:dyDescent="0.2">
      <c r="A93" s="27" t="b">
        <v>1</v>
      </c>
      <c r="B93" s="101" t="s">
        <v>2219</v>
      </c>
      <c r="C93" s="69" t="s">
        <v>2219</v>
      </c>
      <c r="D93" s="27" t="s">
        <v>117</v>
      </c>
      <c r="E93" s="70" t="s">
        <v>2220</v>
      </c>
      <c r="F93" s="26" t="s">
        <v>2196</v>
      </c>
      <c r="G93" s="27"/>
      <c r="H93" s="27"/>
      <c r="I93" s="55" t="s">
        <v>2221</v>
      </c>
      <c r="J93" s="55" t="s">
        <v>2222</v>
      </c>
      <c r="K93" s="45" t="s">
        <v>2223</v>
      </c>
      <c r="L93" s="27" t="e">
        <f>VLOOKUP(C93,#REF!, 11, FALSE)</f>
        <v>#REF!</v>
      </c>
      <c r="M93" s="46" t="s">
        <v>2224</v>
      </c>
      <c r="N93" s="54" t="e">
        <f t="shared" ca="1" si="43"/>
        <v>#NAME?</v>
      </c>
      <c r="O93" s="28"/>
      <c r="P93" s="28"/>
      <c r="Q93" s="121" t="s">
        <v>2225</v>
      </c>
      <c r="R93" s="78" t="s">
        <v>2226</v>
      </c>
      <c r="S93" s="36" t="str">
        <f t="shared" si="53"/>
        <v>0918242242</v>
      </c>
      <c r="T93" s="36" t="str">
        <f t="shared" si="54"/>
        <v>84918242242</v>
      </c>
      <c r="U93" s="36" t="str">
        <f t="shared" si="55"/>
        <v>84918242242</v>
      </c>
      <c r="V93" s="36"/>
      <c r="W93" s="47">
        <f t="shared" si="51"/>
        <v>0</v>
      </c>
      <c r="X93" s="119" t="s">
        <v>2227</v>
      </c>
      <c r="Y93" s="28"/>
      <c r="Z93" s="28"/>
      <c r="AA93" s="115"/>
      <c r="AB93" s="35"/>
      <c r="AC93" s="55" t="s">
        <v>2228</v>
      </c>
      <c r="AD93" s="77" t="s">
        <v>2229</v>
      </c>
      <c r="AE93" s="19" t="s">
        <v>2230</v>
      </c>
      <c r="AF93" s="26" t="s">
        <v>2231</v>
      </c>
      <c r="AG93" s="26" t="s">
        <v>2232</v>
      </c>
      <c r="AH93" s="26" t="s">
        <v>2233</v>
      </c>
      <c r="AI93" s="28"/>
      <c r="AJ93" s="41"/>
      <c r="AK93" s="41"/>
      <c r="AL93" s="41"/>
      <c r="AM93" s="28"/>
      <c r="AN93" s="27"/>
      <c r="AO93" s="27"/>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7" t="s">
        <v>173</v>
      </c>
      <c r="BU93" s="42" t="s">
        <v>1401</v>
      </c>
      <c r="BV93" s="28" t="e">
        <f t="shared" ca="1" si="2"/>
        <v>#NAME?</v>
      </c>
      <c r="BW93" s="28"/>
      <c r="BX93" s="26" t="e">
        <f t="shared" si="52"/>
        <v>#REF!</v>
      </c>
      <c r="BY93" s="28" t="e">
        <v>#VALUE!</v>
      </c>
      <c r="BZ93" s="27"/>
      <c r="CA93" s="27"/>
      <c r="CB93" s="28"/>
      <c r="CC93" s="28"/>
      <c r="CD93" s="28"/>
      <c r="CE93" s="28"/>
      <c r="CF93" s="28"/>
      <c r="CG93" s="28"/>
    </row>
    <row r="94" spans="1:85" ht="15.75" customHeight="1" x14ac:dyDescent="0.2">
      <c r="A94" s="27" t="b">
        <v>1</v>
      </c>
      <c r="B94" s="32" t="s">
        <v>2234</v>
      </c>
      <c r="C94" s="50" t="s">
        <v>2234</v>
      </c>
      <c r="D94" s="27" t="s">
        <v>117</v>
      </c>
      <c r="E94" s="52" t="s">
        <v>2235</v>
      </c>
      <c r="F94" s="27" t="s">
        <v>2236</v>
      </c>
      <c r="G94" s="27" t="str">
        <f t="shared" ref="G94:G123" si="56">F94</f>
        <v>q1U5D_w256.webp</v>
      </c>
      <c r="H94" s="27" t="s">
        <v>833</v>
      </c>
      <c r="I94" s="52" t="s">
        <v>2237</v>
      </c>
      <c r="J94" s="52" t="s">
        <v>2238</v>
      </c>
      <c r="K94" s="34"/>
      <c r="L94" s="26" t="s">
        <v>1188</v>
      </c>
      <c r="M94" s="120" t="s">
        <v>2239</v>
      </c>
      <c r="N94" s="54" t="e">
        <f t="shared" ca="1" si="43"/>
        <v>#NAME?</v>
      </c>
      <c r="O94" s="28"/>
      <c r="P94" s="28"/>
      <c r="Q94" s="36" t="s">
        <v>2240</v>
      </c>
      <c r="R94" s="36" t="s">
        <v>2241</v>
      </c>
      <c r="S94" s="36" t="s">
        <v>2240</v>
      </c>
      <c r="T94" s="36" t="s">
        <v>2242</v>
      </c>
      <c r="U94" s="36" t="s">
        <v>2242</v>
      </c>
      <c r="V94" s="36"/>
      <c r="W94" s="37" t="str">
        <f t="shared" si="51"/>
        <v>https://fb.com/giahaogroupbds</v>
      </c>
      <c r="X94" s="119"/>
      <c r="Y94" s="38" t="s">
        <v>2243</v>
      </c>
      <c r="Z94" s="28"/>
      <c r="AA94" s="115"/>
      <c r="AB94" s="35"/>
      <c r="AC94" s="52" t="s">
        <v>2244</v>
      </c>
      <c r="AD94" s="77" t="s">
        <v>2245</v>
      </c>
      <c r="AE94" s="19" t="s">
        <v>2246</v>
      </c>
      <c r="AF94" s="26" t="s">
        <v>2247</v>
      </c>
      <c r="AG94" s="28"/>
      <c r="AH94" s="28"/>
      <c r="AI94" s="28"/>
      <c r="AJ94" s="41"/>
      <c r="AK94" s="41"/>
      <c r="AL94" s="41"/>
      <c r="AM94" s="28"/>
      <c r="AN94" s="27"/>
      <c r="AO94" s="27"/>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36"/>
      <c r="BT94" s="27" t="s">
        <v>173</v>
      </c>
      <c r="BU94" s="42" t="s">
        <v>151</v>
      </c>
      <c r="BV94" s="28" t="e">
        <f t="shared" ca="1" si="2"/>
        <v>#NAME?</v>
      </c>
      <c r="BW94" s="28"/>
      <c r="BX94" s="26" t="str">
        <f t="shared" si="52"/>
        <v>images.png</v>
      </c>
      <c r="BY94" s="28" t="s">
        <v>1205</v>
      </c>
      <c r="BZ94" s="26" t="s">
        <v>2248</v>
      </c>
      <c r="CA94" s="26" t="s">
        <v>1188</v>
      </c>
      <c r="CB94" s="28"/>
      <c r="CC94" s="28"/>
      <c r="CD94" s="28"/>
      <c r="CE94" s="28"/>
      <c r="CF94" s="28"/>
      <c r="CG94" s="28"/>
    </row>
    <row r="95" spans="1:85" ht="15.75" customHeight="1" x14ac:dyDescent="0.2">
      <c r="A95" s="27" t="b">
        <v>1</v>
      </c>
      <c r="B95" s="32" t="s">
        <v>2249</v>
      </c>
      <c r="C95" s="69" t="s">
        <v>2249</v>
      </c>
      <c r="D95" s="27" t="s">
        <v>117</v>
      </c>
      <c r="E95" s="70" t="s">
        <v>2250</v>
      </c>
      <c r="F95" s="27" t="s">
        <v>2251</v>
      </c>
      <c r="G95" s="27" t="str">
        <f t="shared" si="56"/>
        <v>HOÀNG MINH CHÂU - phuong nguyen_w256.webp</v>
      </c>
      <c r="H95" s="27" t="s">
        <v>833</v>
      </c>
      <c r="I95" s="70" t="s">
        <v>2252</v>
      </c>
      <c r="J95" s="55" t="s">
        <v>2253</v>
      </c>
      <c r="K95" s="45" t="s">
        <v>2254</v>
      </c>
      <c r="L95" s="27" t="e">
        <f>VLOOKUP(C95,#REF!, 11, FALSE)</f>
        <v>#REF!</v>
      </c>
      <c r="M95" s="53" t="s">
        <v>2255</v>
      </c>
      <c r="N95" s="54" t="e">
        <f t="shared" ca="1" si="43"/>
        <v>#NAME?</v>
      </c>
      <c r="O95" s="26" t="s">
        <v>2256</v>
      </c>
      <c r="P95" s="28"/>
      <c r="Q95" s="78" t="e">
        <f>VLOOKUP(E95,#REF!, 7, FALSE)</f>
        <v>#REF!</v>
      </c>
      <c r="R95" s="36" t="e">
        <f>VLOOKUP(E95,#REF!, 8, FALSE)</f>
        <v>#REF!</v>
      </c>
      <c r="S95" s="36" t="e">
        <f t="shared" ref="S95:S96" si="57">Q95</f>
        <v>#REF!</v>
      </c>
      <c r="T95" s="36" t="e">
        <f t="shared" ref="T95:T96" si="58">"84"&amp;IF(LEN(Q95)=10, RIGHT(Q95,9), Q95)</f>
        <v>#REF!</v>
      </c>
      <c r="U95" s="36" t="e">
        <f t="shared" ref="U95:U96" si="59">"84"&amp;IF(LEN(Q95)=10, RIGHT(Q95,9), Q95)</f>
        <v>#REF!</v>
      </c>
      <c r="V95" s="36"/>
      <c r="W95" s="37" t="str">
        <f t="shared" si="51"/>
        <v>https://fb.com/hoang.chau.9026</v>
      </c>
      <c r="X95" s="35" t="e">
        <f>IF(ISERROR(VLOOKUP(E95,#REF!, 9, FALSE)), VLOOKUP(Q95,#REF!, 16, FALSE), VLOOKUP(E95,#REF!, 9, FALSE))</f>
        <v>#REF!</v>
      </c>
      <c r="Y95" s="38" t="s">
        <v>2257</v>
      </c>
      <c r="Z95" s="28" t="e">
        <f>VLOOKUP(E95,#REF!, 11, FALSE)</f>
        <v>#REF!</v>
      </c>
      <c r="AA95" s="97" t="s">
        <v>132</v>
      </c>
      <c r="AB95" s="35" t="e">
        <f>VLOOKUP(E95,#REF!, 12, FALSE)</f>
        <v>#REF!</v>
      </c>
      <c r="AC95" s="55" t="s">
        <v>2258</v>
      </c>
      <c r="AD95" s="77" t="s">
        <v>2259</v>
      </c>
      <c r="AE95" s="19" t="s">
        <v>2260</v>
      </c>
      <c r="AF95" s="26" t="s">
        <v>2261</v>
      </c>
      <c r="AG95" s="28"/>
      <c r="AH95" s="28"/>
      <c r="AI95" s="28"/>
      <c r="AJ95" s="41"/>
      <c r="AK95" s="41"/>
      <c r="AL95" s="41"/>
      <c r="AM95" s="28"/>
      <c r="AN95" s="27"/>
      <c r="AO95" s="27"/>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7" t="s">
        <v>173</v>
      </c>
      <c r="BU95" s="42" t="s">
        <v>151</v>
      </c>
      <c r="BV95" s="28" t="e">
        <f t="shared" ca="1" si="2"/>
        <v>#NAME?</v>
      </c>
      <c r="BW95" s="28"/>
      <c r="BX95" s="26" t="e">
        <f t="shared" si="52"/>
        <v>#REF!</v>
      </c>
      <c r="BY95" s="28" t="e">
        <v>#VALUE!</v>
      </c>
      <c r="BZ95" s="26" t="s">
        <v>2262</v>
      </c>
      <c r="CA95" s="27"/>
      <c r="CB95" s="28"/>
      <c r="CC95" s="28"/>
      <c r="CD95" s="28"/>
      <c r="CE95" s="28"/>
      <c r="CF95" s="28"/>
      <c r="CG95" s="28"/>
    </row>
    <row r="96" spans="1:85" ht="15.75" customHeight="1" x14ac:dyDescent="0.2">
      <c r="A96" s="27" t="b">
        <v>1</v>
      </c>
      <c r="B96" s="32" t="s">
        <v>2263</v>
      </c>
      <c r="C96" s="50" t="s">
        <v>2263</v>
      </c>
      <c r="D96" s="27" t="s">
        <v>117</v>
      </c>
      <c r="E96" s="51" t="s">
        <v>2264</v>
      </c>
      <c r="F96" s="27" t="s">
        <v>2265</v>
      </c>
      <c r="G96" s="27" t="str">
        <f t="shared" si="56"/>
        <v>6SbeT_w256.webp</v>
      </c>
      <c r="H96" s="26" t="s">
        <v>2266</v>
      </c>
      <c r="I96" s="40" t="s">
        <v>2267</v>
      </c>
      <c r="J96" s="52" t="s">
        <v>2268</v>
      </c>
      <c r="K96" s="121" t="s">
        <v>2269</v>
      </c>
      <c r="L96" s="26" t="s">
        <v>2270</v>
      </c>
      <c r="M96" s="53" t="s">
        <v>2271</v>
      </c>
      <c r="N96" s="54" t="e">
        <f t="shared" ca="1" si="43"/>
        <v>#NAME?</v>
      </c>
      <c r="O96" s="26" t="s">
        <v>2272</v>
      </c>
      <c r="P96" s="54" t="e">
        <f ca="1">p_GMapLink(O96)</f>
        <v>#NAME?</v>
      </c>
      <c r="Q96" s="78" t="s">
        <v>2273</v>
      </c>
      <c r="R96" s="84" t="s">
        <v>2274</v>
      </c>
      <c r="S96" s="36" t="str">
        <f t="shared" si="57"/>
        <v>0947455547</v>
      </c>
      <c r="T96" s="36" t="str">
        <f t="shared" si="58"/>
        <v>84947455547</v>
      </c>
      <c r="U96" s="36" t="str">
        <f t="shared" si="59"/>
        <v>84947455547</v>
      </c>
      <c r="V96" s="36"/>
      <c r="W96" s="47">
        <f t="shared" si="51"/>
        <v>0</v>
      </c>
      <c r="X96" s="118" t="s">
        <v>2275</v>
      </c>
      <c r="Y96" s="28"/>
      <c r="Z96" s="28"/>
      <c r="AA96" s="97" t="s">
        <v>132</v>
      </c>
      <c r="AB96" s="35"/>
      <c r="AC96" s="52" t="s">
        <v>2276</v>
      </c>
      <c r="AD96" s="77" t="s">
        <v>2277</v>
      </c>
      <c r="AE96" s="19" t="s">
        <v>2278</v>
      </c>
      <c r="AF96" s="26" t="s">
        <v>2279</v>
      </c>
      <c r="AG96" s="53" t="s">
        <v>2280</v>
      </c>
      <c r="AH96" s="26" t="s">
        <v>2281</v>
      </c>
      <c r="AI96" s="28"/>
      <c r="AJ96" s="18"/>
      <c r="AK96" s="41"/>
      <c r="AL96" s="41"/>
      <c r="AM96" s="28"/>
      <c r="AN96" s="27"/>
      <c r="AO96" s="27" t="e">
        <v>#N/A</v>
      </c>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7" t="s">
        <v>173</v>
      </c>
      <c r="BU96" s="42" t="s">
        <v>151</v>
      </c>
      <c r="BV96" s="28" t="e">
        <f t="shared" ca="1" si="2"/>
        <v>#NAME?</v>
      </c>
      <c r="BW96" s="28"/>
      <c r="BX96" s="26" t="str">
        <f t="shared" si="52"/>
        <v>5f52766a-0e36-40a8-8869-b5695e21ed13.jpg</v>
      </c>
      <c r="BY96" s="28" t="s">
        <v>2282</v>
      </c>
      <c r="BZ96" s="26" t="s">
        <v>2283</v>
      </c>
      <c r="CA96" s="26" t="s">
        <v>2270</v>
      </c>
      <c r="CB96" s="28"/>
      <c r="CC96" s="28"/>
      <c r="CD96" s="28"/>
      <c r="CE96" s="28"/>
      <c r="CF96" s="28"/>
      <c r="CG96" s="28"/>
    </row>
    <row r="97" spans="1:85" ht="15.75" customHeight="1" x14ac:dyDescent="0.2">
      <c r="A97" s="27" t="b">
        <v>1</v>
      </c>
      <c r="B97" s="114" t="s">
        <v>2284</v>
      </c>
      <c r="C97" s="69" t="s">
        <v>2285</v>
      </c>
      <c r="D97" s="27" t="s">
        <v>117</v>
      </c>
      <c r="E97" s="70" t="s">
        <v>2286</v>
      </c>
      <c r="F97" s="27" t="s">
        <v>2287</v>
      </c>
      <c r="G97" s="27" t="str">
        <f t="shared" si="56"/>
        <v>A097_ĐỖ XUÂN TẢI_w256.webp</v>
      </c>
      <c r="H97" s="27" t="s">
        <v>833</v>
      </c>
      <c r="I97" s="70" t="s">
        <v>2288</v>
      </c>
      <c r="J97" s="55" t="s">
        <v>2289</v>
      </c>
      <c r="K97" s="45" t="s">
        <v>2290</v>
      </c>
      <c r="L97" s="26" t="s">
        <v>1409</v>
      </c>
      <c r="M97" s="46" t="s">
        <v>2291</v>
      </c>
      <c r="N97" s="54" t="e">
        <f t="shared" ca="1" si="43"/>
        <v>#NAME?</v>
      </c>
      <c r="O97" s="28"/>
      <c r="P97" s="28"/>
      <c r="Q97" s="36" t="s">
        <v>2292</v>
      </c>
      <c r="R97" s="122" t="s">
        <v>2293</v>
      </c>
      <c r="S97" s="36" t="s">
        <v>2292</v>
      </c>
      <c r="T97" s="36" t="s">
        <v>2294</v>
      </c>
      <c r="U97" s="36" t="s">
        <v>2294</v>
      </c>
      <c r="V97" s="36"/>
      <c r="W97" s="47"/>
      <c r="X97" s="38" t="s">
        <v>2295</v>
      </c>
      <c r="Y97" s="28"/>
      <c r="Z97" s="28"/>
      <c r="AA97" s="97" t="s">
        <v>132</v>
      </c>
      <c r="AB97" s="35"/>
      <c r="AC97" s="71" t="s">
        <v>2296</v>
      </c>
      <c r="AD97" s="19" t="s">
        <v>2297</v>
      </c>
      <c r="AE97" s="19" t="s">
        <v>2298</v>
      </c>
      <c r="AF97" s="19" t="s">
        <v>2299</v>
      </c>
      <c r="AG97" s="19" t="s">
        <v>2300</v>
      </c>
      <c r="AH97" s="19" t="s">
        <v>2301</v>
      </c>
      <c r="AI97" s="19" t="s">
        <v>2302</v>
      </c>
      <c r="AJ97" s="19" t="s">
        <v>2303</v>
      </c>
      <c r="AK97" s="41"/>
      <c r="AL97" s="41"/>
      <c r="AM97" s="28"/>
      <c r="AN97" s="27"/>
      <c r="AO97" s="26" t="s">
        <v>2304</v>
      </c>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36"/>
      <c r="BT97" s="27" t="s">
        <v>173</v>
      </c>
      <c r="BU97" s="42" t="s">
        <v>151</v>
      </c>
      <c r="BV97" s="28" t="e">
        <f t="shared" ca="1" si="2"/>
        <v>#NAME?</v>
      </c>
      <c r="BW97" s="28"/>
      <c r="BX97" s="26" t="str">
        <f t="shared" si="52"/>
        <v>logo.png</v>
      </c>
      <c r="BY97" s="28" t="s">
        <v>1425</v>
      </c>
      <c r="BZ97" s="26" t="s">
        <v>2305</v>
      </c>
      <c r="CA97" s="26" t="s">
        <v>1409</v>
      </c>
      <c r="CB97" s="28"/>
      <c r="CC97" s="28"/>
      <c r="CD97" s="28"/>
      <c r="CE97" s="28"/>
      <c r="CF97" s="28"/>
      <c r="CG97" s="28"/>
    </row>
    <row r="98" spans="1:85" ht="15.75" customHeight="1" x14ac:dyDescent="0.2">
      <c r="A98" s="123" t="b">
        <v>0</v>
      </c>
      <c r="B98" s="124" t="s">
        <v>2285</v>
      </c>
      <c r="C98" s="125" t="s">
        <v>2284</v>
      </c>
      <c r="D98" s="126" t="s">
        <v>117</v>
      </c>
      <c r="E98" s="123" t="s">
        <v>2306</v>
      </c>
      <c r="F98" s="26" t="s">
        <v>2196</v>
      </c>
      <c r="G98" s="126" t="str">
        <f t="shared" si="56"/>
        <v>x</v>
      </c>
      <c r="H98" s="126" t="e">
        <f>IF(ISERROR(VLOOKUP(E98,#REF!, 6, FALSE)), VLOOKUP(Q98,#REF!, 22, FALSE), VLOOKUP(E98,#REF!, 6, FALSE))</f>
        <v>#REF!</v>
      </c>
      <c r="I98" s="72" t="s">
        <v>2267</v>
      </c>
      <c r="J98" s="126"/>
      <c r="K98" s="127" t="s">
        <v>2269</v>
      </c>
      <c r="L98" s="27" t="e">
        <f>VLOOKUP(C98,#REF!, 11, FALSE)</f>
        <v>#REF!</v>
      </c>
      <c r="M98" s="128" t="e">
        <f ca="1">IF(ISERROR(VLOOKUP(E98,#REF!, 4, FALSE)), IF(OR(ISERROR(VLOOKUP(Q98,#REF!, 25, FALSE)), ISBLANK(VLOOKUP(Q98,#REF!, 25, FALSE))), BV98, VLOOKUP(Q98,#REF!, 25, FALSE)), VLOOKUP(E98,#REF!, 4, FALSE))</f>
        <v>#NAME?</v>
      </c>
      <c r="N98" s="129" t="e">
        <f t="shared" ca="1" si="43"/>
        <v>#NAME?</v>
      </c>
      <c r="O98" s="72"/>
      <c r="P98" s="72"/>
      <c r="Q98" s="130" t="s">
        <v>2307</v>
      </c>
      <c r="R98" s="127" t="e">
        <f>VLOOKUP(E98,#REF!, 8, FALSE)</f>
        <v>#REF!</v>
      </c>
      <c r="S98" s="127" t="str">
        <f t="shared" ref="S98:S102" si="60">Q98</f>
        <v>Chưa ai trả lời</v>
      </c>
      <c r="T98" s="127" t="str">
        <f t="shared" ref="T98:T104" si="61">"84"&amp;IF(LEN(Q98)=10, RIGHT(Q98,9), Q98)</f>
        <v>84Chưa ai trả lời</v>
      </c>
      <c r="U98" s="127" t="str">
        <f t="shared" ref="U98:U104" si="62">"84"&amp;IF(LEN(Q98)=10, RIGHT(Q98,9), Q98)</f>
        <v>84Chưa ai trả lời</v>
      </c>
      <c r="V98" s="127"/>
      <c r="W98" s="131" t="e">
        <f t="shared" ref="W98:W102" si="63">Y98</f>
        <v>#REF!</v>
      </c>
      <c r="X98" s="132" t="e">
        <f>IF(ISERROR(VLOOKUP(E98,#REF!, 9, FALSE)), VLOOKUP(Q98,#REF!, 16, FALSE), VLOOKUP(E98,#REF!, 9, FALSE))</f>
        <v>#REF!</v>
      </c>
      <c r="Y98" s="72" t="e">
        <f>VLOOKUP(E98,#REF!, 10, FALSE)</f>
        <v>#REF!</v>
      </c>
      <c r="Z98" s="72" t="e">
        <f>VLOOKUP(E98,#REF!, 11, FALSE)</f>
        <v>#REF!</v>
      </c>
      <c r="AA98" s="133" t="s">
        <v>132</v>
      </c>
      <c r="AB98" s="132" t="e">
        <f>VLOOKUP(E98,#REF!, 12, FALSE)</f>
        <v>#REF!</v>
      </c>
      <c r="AC98" s="72" t="s">
        <v>2308</v>
      </c>
      <c r="AD98" s="134" t="e">
        <f>VLOOKUP(E98,#REF!, 3, FALSE)</f>
        <v>#REF!</v>
      </c>
      <c r="AE98" s="135"/>
      <c r="AF98" s="72"/>
      <c r="AG98" s="72"/>
      <c r="AH98" s="72"/>
      <c r="AI98" s="72"/>
      <c r="AJ98" s="134" t="e">
        <v>#N/A</v>
      </c>
      <c r="AK98" s="134" t="e">
        <v>#N/A</v>
      </c>
      <c r="AL98" s="134" t="e">
        <v>#N/A</v>
      </c>
      <c r="AM98" s="72"/>
      <c r="AN98" s="126"/>
      <c r="AO98" s="126" t="e">
        <v>#N/A</v>
      </c>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126" t="s">
        <v>173</v>
      </c>
      <c r="BU98" s="42" t="s">
        <v>1401</v>
      </c>
      <c r="BV98" s="72" t="e">
        <f t="shared" ca="1" si="2"/>
        <v>#NAME?</v>
      </c>
      <c r="BW98" s="72"/>
      <c r="BX98" s="26" t="e">
        <f t="shared" si="52"/>
        <v>#REF!</v>
      </c>
      <c r="BY98" s="28" t="e">
        <v>#N/A</v>
      </c>
      <c r="BZ98" s="126" t="e">
        <f>VLOOKUP(BX98,#REF!, 15, FALSE)</f>
        <v>#REF!</v>
      </c>
      <c r="CA98" s="126" t="e">
        <f>IF(ISERROR(VLOOKUP(BT98,#REF!, 11, FALSE)), VLOOKUP(CF98,#REF!, 7, FALSE), VLOOKUP(BT98, BR:CM, 11, FALSE))</f>
        <v>#REF!</v>
      </c>
      <c r="CB98" s="28"/>
      <c r="CC98" s="28"/>
      <c r="CD98" s="28"/>
      <c r="CE98" s="28"/>
      <c r="CF98" s="28"/>
      <c r="CG98" s="28"/>
    </row>
    <row r="99" spans="1:85" ht="15.75" customHeight="1" x14ac:dyDescent="0.2">
      <c r="A99" s="27" t="b">
        <v>1</v>
      </c>
      <c r="B99" s="101" t="s">
        <v>2309</v>
      </c>
      <c r="C99" s="69" t="s">
        <v>2309</v>
      </c>
      <c r="D99" s="27" t="s">
        <v>117</v>
      </c>
      <c r="E99" s="70" t="s">
        <v>2310</v>
      </c>
      <c r="F99" s="26" t="s">
        <v>2196</v>
      </c>
      <c r="G99" s="27" t="str">
        <f t="shared" si="56"/>
        <v>x</v>
      </c>
      <c r="H99" s="27" t="e">
        <f>IF(ISERROR(VLOOKUP(E99,#REF!, 6, FALSE)), VLOOKUP(Q99,#REF!, 22, FALSE), VLOOKUP(E99,#REF!, 6, FALSE))</f>
        <v>#REF!</v>
      </c>
      <c r="I99" s="70" t="s">
        <v>2311</v>
      </c>
      <c r="J99" s="43"/>
      <c r="K99" s="45" t="s">
        <v>2312</v>
      </c>
      <c r="L99" s="27" t="e">
        <f>VLOOKUP(C99,#REF!, 11, FALSE)</f>
        <v>#REF!</v>
      </c>
      <c r="M99" s="46" t="e">
        <f ca="1">p_LayTTDN_Full(K99, "dc")</f>
        <v>#NAME?</v>
      </c>
      <c r="N99" s="54" t="e">
        <f t="shared" ca="1" si="43"/>
        <v>#NAME?</v>
      </c>
      <c r="O99" s="28"/>
      <c r="P99" s="28"/>
      <c r="Q99" s="78" t="s">
        <v>2313</v>
      </c>
      <c r="R99" s="36" t="e">
        <f>VLOOKUP(E99,#REF!, 8, FALSE)</f>
        <v>#REF!</v>
      </c>
      <c r="S99" s="36" t="str">
        <f t="shared" si="60"/>
        <v>Đã nt</v>
      </c>
      <c r="T99" s="36" t="str">
        <f t="shared" si="61"/>
        <v>84Đã nt</v>
      </c>
      <c r="U99" s="36" t="str">
        <f t="shared" si="62"/>
        <v>84Đã nt</v>
      </c>
      <c r="V99" s="36"/>
      <c r="W99" s="47" t="e">
        <f t="shared" si="63"/>
        <v>#REF!</v>
      </c>
      <c r="X99" s="35" t="e">
        <f>IF(ISERROR(VLOOKUP(E99,#REF!, 9, FALSE)), VLOOKUP(Q99,#REF!, 16, FALSE), VLOOKUP(E99,#REF!, 9, FALSE))</f>
        <v>#REF!</v>
      </c>
      <c r="Y99" s="28" t="e">
        <f>VLOOKUP(E99,#REF!, 10, FALSE)</f>
        <v>#REF!</v>
      </c>
      <c r="Z99" s="28" t="e">
        <f>VLOOKUP(E99,#REF!, 11, FALSE)</f>
        <v>#REF!</v>
      </c>
      <c r="AA99" s="97" t="s">
        <v>132</v>
      </c>
      <c r="AB99" s="35" t="e">
        <f>VLOOKUP(E99,#REF!, 12, FALSE)</f>
        <v>#REF!</v>
      </c>
      <c r="AC99" s="70" t="s">
        <v>2314</v>
      </c>
      <c r="AD99" s="111" t="e">
        <f>VLOOKUP(E99,#REF!, 3, FALSE)</f>
        <v>#REF!</v>
      </c>
      <c r="AE99" s="18"/>
      <c r="AF99" s="28"/>
      <c r="AG99" s="28"/>
      <c r="AH99" s="28"/>
      <c r="AI99" s="28"/>
      <c r="AJ99" s="41" t="e">
        <v>#N/A</v>
      </c>
      <c r="AK99" s="41" t="e">
        <v>#N/A</v>
      </c>
      <c r="AL99" s="41" t="e">
        <v>#N/A</v>
      </c>
      <c r="AM99" s="28"/>
      <c r="AN99" s="27"/>
      <c r="AO99" s="27" t="e">
        <v>#N/A</v>
      </c>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7" t="s">
        <v>173</v>
      </c>
      <c r="BU99" s="42" t="s">
        <v>1401</v>
      </c>
      <c r="BV99" s="28" t="e">
        <f t="shared" ca="1" si="2"/>
        <v>#NAME?</v>
      </c>
      <c r="BW99" s="28"/>
      <c r="BX99" s="26" t="e">
        <f t="shared" si="52"/>
        <v>#REF!</v>
      </c>
      <c r="BY99" s="28" t="e">
        <v>#N/A</v>
      </c>
      <c r="BZ99" s="27" t="e">
        <f>VLOOKUP(BX99,#REF!, 15, FALSE)</f>
        <v>#REF!</v>
      </c>
      <c r="CA99" s="27" t="e">
        <f>IF(ISERROR(VLOOKUP(BT99,#REF!, 11, FALSE)), VLOOKUP(CF99,#REF!, 7, FALSE), VLOOKUP(BT99, BR:CM, 11, FALSE))</f>
        <v>#REF!</v>
      </c>
      <c r="CB99" s="28"/>
      <c r="CC99" s="28"/>
      <c r="CD99" s="28"/>
      <c r="CE99" s="28"/>
      <c r="CF99" s="28"/>
      <c r="CG99" s="28"/>
    </row>
    <row r="100" spans="1:85" ht="15.75" customHeight="1" x14ac:dyDescent="0.2">
      <c r="A100" s="27" t="b">
        <v>1</v>
      </c>
      <c r="B100" s="74" t="s">
        <v>2315</v>
      </c>
      <c r="C100" s="50" t="s">
        <v>2315</v>
      </c>
      <c r="D100" s="27" t="s">
        <v>117</v>
      </c>
      <c r="E100" s="52" t="s">
        <v>2316</v>
      </c>
      <c r="F100" s="26" t="s">
        <v>2196</v>
      </c>
      <c r="G100" s="27" t="str">
        <f t="shared" si="56"/>
        <v>x</v>
      </c>
      <c r="H100" s="27" t="e">
        <f>IF(ISERROR(VLOOKUP(E100,#REF!, 6, FALSE)), VLOOKUP(Q100,#REF!, 22, FALSE), VLOOKUP(E100,#REF!, 6, FALSE))</f>
        <v>#REF!</v>
      </c>
      <c r="I100" s="51" t="s">
        <v>2317</v>
      </c>
      <c r="J100" s="33"/>
      <c r="K100" s="34" t="s">
        <v>2318</v>
      </c>
      <c r="L100" s="27" t="e">
        <f>VLOOKUP(C100,#REF!, 11, FALSE)</f>
        <v>#REF!</v>
      </c>
      <c r="M100" s="46" t="e">
        <f ca="1">IF(ISERROR(VLOOKUP(E100,#REF!, 4, FALSE)), IF(OR(ISERROR(VLOOKUP(Q100,#REF!, 25, FALSE)), ISBLANK(VLOOKUP(Q100,#REF!, 25, FALSE))), BV100, VLOOKUP(Q100,#REF!, 25, FALSE)), VLOOKUP(E100,#REF!, 4, FALSE))</f>
        <v>#NAME?</v>
      </c>
      <c r="N100" s="54" t="e">
        <f t="shared" ca="1" si="43"/>
        <v>#NAME?</v>
      </c>
      <c r="O100" s="28"/>
      <c r="P100" s="28"/>
      <c r="Q100" s="78" t="s">
        <v>2313</v>
      </c>
      <c r="R100" s="36" t="e">
        <f>VLOOKUP(E100,#REF!, 8, FALSE)</f>
        <v>#REF!</v>
      </c>
      <c r="S100" s="36" t="str">
        <f t="shared" si="60"/>
        <v>Đã nt</v>
      </c>
      <c r="T100" s="36" t="str">
        <f t="shared" si="61"/>
        <v>84Đã nt</v>
      </c>
      <c r="U100" s="36" t="str">
        <f t="shared" si="62"/>
        <v>84Đã nt</v>
      </c>
      <c r="V100" s="36"/>
      <c r="W100" s="47" t="e">
        <f t="shared" si="63"/>
        <v>#REF!</v>
      </c>
      <c r="X100" s="35" t="e">
        <f>IF(ISERROR(VLOOKUP(E100,#REF!, 9, FALSE)), VLOOKUP(Q100,#REF!, 16, FALSE), VLOOKUP(E100,#REF!, 9, FALSE))</f>
        <v>#REF!</v>
      </c>
      <c r="Y100" s="28" t="e">
        <f>VLOOKUP(E100,#REF!, 10, FALSE)</f>
        <v>#REF!</v>
      </c>
      <c r="Z100" s="28" t="e">
        <f>VLOOKUP(E100,#REF!, 11, FALSE)</f>
        <v>#REF!</v>
      </c>
      <c r="AA100" s="97" t="s">
        <v>132</v>
      </c>
      <c r="AB100" s="35" t="e">
        <f>VLOOKUP(E100,#REF!, 12, FALSE)</f>
        <v>#REF!</v>
      </c>
      <c r="AC100" s="51" t="s">
        <v>2319</v>
      </c>
      <c r="AD100" s="111" t="e">
        <f>VLOOKUP(E100,#REF!, 3, FALSE)</f>
        <v>#REF!</v>
      </c>
      <c r="AE100" s="18"/>
      <c r="AF100" s="28"/>
      <c r="AG100" s="28"/>
      <c r="AH100" s="28"/>
      <c r="AI100" s="28"/>
      <c r="AJ100" s="41" t="e">
        <v>#N/A</v>
      </c>
      <c r="AK100" s="41" t="s">
        <v>2320</v>
      </c>
      <c r="AL100" s="41" t="e">
        <v>#N/A</v>
      </c>
      <c r="AM100" s="28"/>
      <c r="AN100" s="27"/>
      <c r="AO100" s="27" t="e">
        <v>#N/A</v>
      </c>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7" t="s">
        <v>173</v>
      </c>
      <c r="BU100" s="42" t="s">
        <v>1401</v>
      </c>
      <c r="BV100" s="28" t="e">
        <f t="shared" ca="1" si="2"/>
        <v>#NAME?</v>
      </c>
      <c r="BW100" s="28"/>
      <c r="BX100" s="26" t="e">
        <f t="shared" si="52"/>
        <v>#REF!</v>
      </c>
      <c r="BY100" s="28" t="e">
        <v>#N/A</v>
      </c>
      <c r="BZ100" s="27" t="e">
        <f>VLOOKUP(BX100,#REF!, 15, FALSE)</f>
        <v>#REF!</v>
      </c>
      <c r="CA100" s="27" t="e">
        <f>IF(ISERROR(VLOOKUP(BT100,#REF!, 11, FALSE)), VLOOKUP(CF100,#REF!, 7, FALSE), VLOOKUP(BT100, BR:CM, 11, FALSE))</f>
        <v>#REF!</v>
      </c>
      <c r="CB100" s="28"/>
      <c r="CC100" s="28"/>
      <c r="CD100" s="28"/>
      <c r="CE100" s="28"/>
      <c r="CF100" s="28"/>
      <c r="CG100" s="28"/>
    </row>
    <row r="101" spans="1:85" ht="15.75" customHeight="1" x14ac:dyDescent="0.2">
      <c r="A101" s="27" t="b">
        <v>1</v>
      </c>
      <c r="B101" s="32" t="s">
        <v>2321</v>
      </c>
      <c r="C101" s="50" t="s">
        <v>2321</v>
      </c>
      <c r="D101" s="27" t="s">
        <v>117</v>
      </c>
      <c r="E101" s="70" t="s">
        <v>2322</v>
      </c>
      <c r="F101" s="27" t="s">
        <v>2323</v>
      </c>
      <c r="G101" s="27" t="str">
        <f t="shared" si="56"/>
        <v>090ec58a-c40a-4bf7-b869-d51c1c4ba063_w256.webp</v>
      </c>
      <c r="H101" s="26" t="s">
        <v>833</v>
      </c>
      <c r="I101" s="70" t="s">
        <v>2324</v>
      </c>
      <c r="J101" s="55" t="s">
        <v>2325</v>
      </c>
      <c r="K101" s="56" t="s">
        <v>2326</v>
      </c>
      <c r="L101" s="26" t="s">
        <v>2327</v>
      </c>
      <c r="M101" s="53" t="s">
        <v>2328</v>
      </c>
      <c r="N101" s="54" t="e">
        <f t="shared" ca="1" si="43"/>
        <v>#NAME?</v>
      </c>
      <c r="O101" s="28"/>
      <c r="P101" s="28"/>
      <c r="Q101" s="78" t="s">
        <v>2329</v>
      </c>
      <c r="R101" s="86" t="s">
        <v>2330</v>
      </c>
      <c r="S101" s="36" t="str">
        <f t="shared" si="60"/>
        <v>0981798307</v>
      </c>
      <c r="T101" s="36" t="str">
        <f t="shared" si="61"/>
        <v>84981798307</v>
      </c>
      <c r="U101" s="36" t="str">
        <f t="shared" si="62"/>
        <v>84981798307</v>
      </c>
      <c r="V101" s="36"/>
      <c r="W101" s="37" t="str">
        <f t="shared" si="63"/>
        <v>https://www.facebook.com/BangNhatNguyen.phuthinhhome</v>
      </c>
      <c r="X101" s="38" t="s">
        <v>2331</v>
      </c>
      <c r="Y101" s="57" t="s">
        <v>2332</v>
      </c>
      <c r="Z101" s="57" t="s">
        <v>2333</v>
      </c>
      <c r="AA101" s="97" t="s">
        <v>132</v>
      </c>
      <c r="AB101" s="35"/>
      <c r="AC101" s="40" t="s">
        <v>2334</v>
      </c>
      <c r="AD101" s="40" t="s">
        <v>2335</v>
      </c>
      <c r="AE101" s="40" t="s">
        <v>2336</v>
      </c>
      <c r="AF101" s="26" t="s">
        <v>2337</v>
      </c>
      <c r="AG101" s="28"/>
      <c r="AH101" s="28"/>
      <c r="AI101" s="28"/>
      <c r="AJ101" s="41"/>
      <c r="AK101" s="41"/>
      <c r="AL101" s="41"/>
      <c r="AM101" s="28"/>
      <c r="AN101" s="27"/>
      <c r="AO101" s="27" t="e">
        <v>#N/A</v>
      </c>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7" t="s">
        <v>173</v>
      </c>
      <c r="BU101" s="42" t="s">
        <v>151</v>
      </c>
      <c r="BV101" s="28" t="e">
        <f t="shared" ca="1" si="2"/>
        <v>#NAME?</v>
      </c>
      <c r="BW101" s="28"/>
      <c r="BX101" s="26" t="str">
        <f t="shared" si="52"/>
        <v>564598178_4069922319929038_1473188570844470974_n.jpg</v>
      </c>
      <c r="BY101" s="28" t="s">
        <v>2338</v>
      </c>
      <c r="BZ101" s="26" t="s">
        <v>2339</v>
      </c>
      <c r="CA101" s="26" t="s">
        <v>2327</v>
      </c>
      <c r="CB101" s="28"/>
      <c r="CC101" s="28"/>
      <c r="CD101" s="28"/>
      <c r="CE101" s="28"/>
      <c r="CF101" s="28"/>
      <c r="CG101" s="28"/>
    </row>
    <row r="102" spans="1:85" ht="15.75" customHeight="1" x14ac:dyDescent="0.2">
      <c r="A102" s="27" t="b">
        <v>1</v>
      </c>
      <c r="B102" s="32" t="s">
        <v>2340</v>
      </c>
      <c r="C102" s="50" t="s">
        <v>2340</v>
      </c>
      <c r="D102" s="27" t="s">
        <v>117</v>
      </c>
      <c r="E102" s="51" t="s">
        <v>2341</v>
      </c>
      <c r="F102" s="27" t="s">
        <v>2342</v>
      </c>
      <c r="G102" s="27" t="str">
        <f t="shared" si="56"/>
        <v>A101_NGUYỄN THANH PHƯƠNG_w256.webp</v>
      </c>
      <c r="H102" s="26" t="s">
        <v>833</v>
      </c>
      <c r="I102" s="51" t="s">
        <v>2343</v>
      </c>
      <c r="J102" s="52" t="s">
        <v>2344</v>
      </c>
      <c r="K102" s="34" t="s">
        <v>2345</v>
      </c>
      <c r="L102" s="27" t="e">
        <f>VLOOKUP(C102,#REF!, 11, FALSE)</f>
        <v>#REF!</v>
      </c>
      <c r="M102" s="53" t="s">
        <v>2346</v>
      </c>
      <c r="N102" s="54" t="e">
        <f t="shared" ca="1" si="43"/>
        <v>#NAME?</v>
      </c>
      <c r="O102" s="136" t="s">
        <v>2347</v>
      </c>
      <c r="P102" s="28"/>
      <c r="Q102" s="78" t="s">
        <v>2348</v>
      </c>
      <c r="R102" s="78" t="s">
        <v>2349</v>
      </c>
      <c r="S102" s="36" t="str">
        <f t="shared" si="60"/>
        <v>0916117474</v>
      </c>
      <c r="T102" s="36" t="str">
        <f t="shared" si="61"/>
        <v>84916117474</v>
      </c>
      <c r="U102" s="36" t="str">
        <f t="shared" si="62"/>
        <v>84916117474</v>
      </c>
      <c r="V102" s="36"/>
      <c r="W102" s="47">
        <f t="shared" si="63"/>
        <v>0</v>
      </c>
      <c r="X102" s="118" t="s">
        <v>2350</v>
      </c>
      <c r="Y102" s="28"/>
      <c r="Z102" s="28"/>
      <c r="AA102" s="115"/>
      <c r="AB102" s="35"/>
      <c r="AC102" s="52" t="s">
        <v>2351</v>
      </c>
      <c r="AD102" s="77" t="s">
        <v>2352</v>
      </c>
      <c r="AE102" s="19" t="s">
        <v>2216</v>
      </c>
      <c r="AF102" s="26" t="s">
        <v>2353</v>
      </c>
      <c r="AG102" s="26" t="s">
        <v>2354</v>
      </c>
      <c r="AH102" s="28"/>
      <c r="AI102" s="28"/>
      <c r="AJ102" s="41"/>
      <c r="AK102" s="41"/>
      <c r="AL102" s="41"/>
      <c r="AM102" s="28"/>
      <c r="AN102" s="27"/>
      <c r="AO102" s="27" t="e">
        <v>#N/A</v>
      </c>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7" t="s">
        <v>173</v>
      </c>
      <c r="BU102" s="42" t="s">
        <v>151</v>
      </c>
      <c r="BV102" s="28" t="e">
        <f t="shared" ca="1" si="2"/>
        <v>#NAME?</v>
      </c>
      <c r="BW102" s="28"/>
      <c r="BX102" s="26" t="e">
        <f t="shared" si="52"/>
        <v>#REF!</v>
      </c>
      <c r="BY102" s="28" t="e">
        <v>#VALUE!</v>
      </c>
      <c r="BZ102" s="26" t="s">
        <v>2355</v>
      </c>
      <c r="CA102" s="27"/>
      <c r="CB102" s="28"/>
      <c r="CC102" s="28"/>
      <c r="CD102" s="28"/>
      <c r="CE102" s="28"/>
      <c r="CF102" s="28"/>
      <c r="CG102" s="28"/>
    </row>
    <row r="103" spans="1:85" ht="15.75" customHeight="1" x14ac:dyDescent="0.2">
      <c r="A103" s="27" t="b">
        <v>1</v>
      </c>
      <c r="B103" s="114" t="s">
        <v>2356</v>
      </c>
      <c r="C103" s="50" t="s">
        <v>2356</v>
      </c>
      <c r="D103" s="27" t="s">
        <v>117</v>
      </c>
      <c r="E103" s="28" t="s">
        <v>2357</v>
      </c>
      <c r="F103" s="27" t="s">
        <v>2358</v>
      </c>
      <c r="G103" s="27" t="str">
        <f t="shared" si="56"/>
        <v>ec471ff8-6331-4c32-9f65-a9f20096d4ea_w256.webp</v>
      </c>
      <c r="H103" s="26" t="s">
        <v>2359</v>
      </c>
      <c r="I103" s="26" t="s">
        <v>2360</v>
      </c>
      <c r="J103" s="42" t="s">
        <v>2361</v>
      </c>
      <c r="K103" s="137" t="s">
        <v>2362</v>
      </c>
      <c r="L103" s="26" t="s">
        <v>2363</v>
      </c>
      <c r="M103" s="53" t="s">
        <v>2364</v>
      </c>
      <c r="N103" s="54" t="e">
        <f t="shared" ca="1" si="43"/>
        <v>#NAME?</v>
      </c>
      <c r="O103" s="138"/>
      <c r="P103" s="28"/>
      <c r="Q103" s="78" t="s">
        <v>2365</v>
      </c>
      <c r="R103" s="78" t="s">
        <v>2366</v>
      </c>
      <c r="S103" s="78" t="s">
        <v>2365</v>
      </c>
      <c r="T103" s="36" t="str">
        <f t="shared" si="61"/>
        <v>84918033599</v>
      </c>
      <c r="U103" s="36" t="str">
        <f t="shared" si="62"/>
        <v>84918033599</v>
      </c>
      <c r="V103" s="36"/>
      <c r="W103" s="47"/>
      <c r="X103" s="38" t="s">
        <v>2367</v>
      </c>
      <c r="Y103" s="28"/>
      <c r="Z103" s="28"/>
      <c r="AA103" s="97" t="s">
        <v>132</v>
      </c>
      <c r="AB103" s="35"/>
      <c r="AC103" s="26" t="s">
        <v>2368</v>
      </c>
      <c r="AD103" s="77" t="s">
        <v>2369</v>
      </c>
      <c r="AE103" s="19" t="s">
        <v>2370</v>
      </c>
      <c r="AF103" s="26" t="s">
        <v>2371</v>
      </c>
      <c r="AG103" s="26" t="s">
        <v>2372</v>
      </c>
      <c r="AH103" s="26" t="s">
        <v>2373</v>
      </c>
      <c r="AI103" s="26" t="s">
        <v>2374</v>
      </c>
      <c r="AJ103" s="53" t="s">
        <v>2375</v>
      </c>
      <c r="AK103" s="41"/>
      <c r="AL103" s="41"/>
      <c r="AM103" s="28"/>
      <c r="AN103" s="27"/>
      <c r="AO103" s="27"/>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7" t="s">
        <v>173</v>
      </c>
      <c r="BU103" s="42" t="s">
        <v>151</v>
      </c>
      <c r="BV103" s="28" t="e">
        <f t="shared" ca="1" si="2"/>
        <v>#NAME?</v>
      </c>
      <c r="BW103" s="28"/>
      <c r="BX103" s="28"/>
      <c r="BY103" s="28" t="s">
        <v>2358</v>
      </c>
      <c r="BZ103" s="26" t="s">
        <v>2376</v>
      </c>
      <c r="CA103" s="26" t="s">
        <v>2363</v>
      </c>
      <c r="CB103" s="28"/>
      <c r="CC103" s="28"/>
      <c r="CD103" s="28"/>
      <c r="CE103" s="28"/>
      <c r="CF103" s="28"/>
      <c r="CG103" s="28"/>
    </row>
    <row r="104" spans="1:85" ht="15.75" customHeight="1" x14ac:dyDescent="0.2">
      <c r="A104" s="27" t="b">
        <v>1</v>
      </c>
      <c r="B104" s="139" t="s">
        <v>2377</v>
      </c>
      <c r="C104" s="50" t="s">
        <v>2377</v>
      </c>
      <c r="D104" s="27" t="s">
        <v>117</v>
      </c>
      <c r="E104" s="28" t="s">
        <v>2378</v>
      </c>
      <c r="F104" s="26" t="s">
        <v>2196</v>
      </c>
      <c r="G104" s="27" t="str">
        <f t="shared" si="56"/>
        <v>x</v>
      </c>
      <c r="H104" s="27" t="e">
        <f>IF(ISERROR(VLOOKUP(E104,#REF!, 6, FALSE)), VLOOKUP(Q104,#REF!, 22, FALSE), VLOOKUP(E104,#REF!, 6, FALSE))</f>
        <v>#REF!</v>
      </c>
      <c r="I104" s="28" t="s">
        <v>2379</v>
      </c>
      <c r="J104" s="140"/>
      <c r="K104" s="137" t="s">
        <v>2380</v>
      </c>
      <c r="L104" s="27" t="e">
        <f>VLOOKUP(C104,#REF!, 11, FALSE)</f>
        <v>#REF!</v>
      </c>
      <c r="M104" s="46" t="e">
        <f ca="1">p_LayTTDN_Full(K104, "dc")</f>
        <v>#NAME?</v>
      </c>
      <c r="N104" s="54" t="e">
        <f t="shared" ca="1" si="43"/>
        <v>#NAME?</v>
      </c>
      <c r="O104" s="28"/>
      <c r="P104" s="28"/>
      <c r="Q104" s="78" t="s">
        <v>2381</v>
      </c>
      <c r="R104" s="36" t="e">
        <f>VLOOKUP(E104,#REF!, 8, FALSE)</f>
        <v>#REF!</v>
      </c>
      <c r="S104" s="36" t="str">
        <f>Q104</f>
        <v>Zalo chặn</v>
      </c>
      <c r="T104" s="36" t="str">
        <f t="shared" si="61"/>
        <v>84Zalo chặn</v>
      </c>
      <c r="U104" s="36" t="str">
        <f t="shared" si="62"/>
        <v>84Zalo chặn</v>
      </c>
      <c r="V104" s="36"/>
      <c r="W104" s="47" t="e">
        <f t="shared" ref="W104:W110" si="64">Y104</f>
        <v>#REF!</v>
      </c>
      <c r="X104" s="35" t="e">
        <f>IF(ISERROR(VLOOKUP(E104,#REF!, 9, FALSE)), VLOOKUP(Q104,#REF!, 16, FALSE), VLOOKUP(E104,#REF!, 9, FALSE))</f>
        <v>#REF!</v>
      </c>
      <c r="Y104" s="28" t="e">
        <f>VLOOKUP(E104,#REF!, 10, FALSE)</f>
        <v>#REF!</v>
      </c>
      <c r="Z104" s="28" t="e">
        <f>VLOOKUP(E104,#REF!, 11, FALSE)</f>
        <v>#REF!</v>
      </c>
      <c r="AA104" s="97" t="s">
        <v>132</v>
      </c>
      <c r="AB104" s="35" t="e">
        <f>VLOOKUP(E104,#REF!, 12, FALSE)</f>
        <v>#REF!</v>
      </c>
      <c r="AC104" s="28" t="s">
        <v>2382</v>
      </c>
      <c r="AD104" s="111" t="e">
        <f>VLOOKUP(E104,#REF!, 3, FALSE)</f>
        <v>#REF!</v>
      </c>
      <c r="AE104" s="18"/>
      <c r="AF104" s="28"/>
      <c r="AG104" s="28"/>
      <c r="AH104" s="28"/>
      <c r="AI104" s="28"/>
      <c r="AJ104" s="41"/>
      <c r="AK104" s="41" t="s">
        <v>2383</v>
      </c>
      <c r="AL104" s="41" t="e">
        <v>#N/A</v>
      </c>
      <c r="AM104" s="28"/>
      <c r="AN104" s="27"/>
      <c r="AO104" s="27" t="e">
        <v>#N/A</v>
      </c>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7" t="s">
        <v>173</v>
      </c>
      <c r="BU104" s="42" t="s">
        <v>1401</v>
      </c>
      <c r="BV104" s="28" t="e">
        <f t="shared" ca="1" si="2"/>
        <v>#NAME?</v>
      </c>
      <c r="BW104" s="28"/>
      <c r="BX104" s="26" t="e">
        <f t="shared" ref="BX104:BX123" si="65">L104</f>
        <v>#REF!</v>
      </c>
      <c r="BY104" s="28" t="e">
        <v>#N/A</v>
      </c>
      <c r="BZ104" s="27" t="e">
        <f>VLOOKUP(BX104,#REF!, 15, FALSE)</f>
        <v>#REF!</v>
      </c>
      <c r="CA104" s="27" t="e">
        <f>IF(ISERROR(VLOOKUP(BT104,#REF!, 11, FALSE)), VLOOKUP(CF104,#REF!, 7, FALSE), VLOOKUP(BT104, BR:CM, 11, FALSE))</f>
        <v>#REF!</v>
      </c>
      <c r="CB104" s="28"/>
      <c r="CC104" s="28"/>
      <c r="CD104" s="28"/>
      <c r="CE104" s="28"/>
      <c r="CF104" s="28"/>
      <c r="CG104" s="28"/>
    </row>
    <row r="105" spans="1:85" ht="15.75" customHeight="1" x14ac:dyDescent="0.2">
      <c r="A105" s="27" t="b">
        <v>1</v>
      </c>
      <c r="B105" s="139" t="s">
        <v>2384</v>
      </c>
      <c r="C105" s="50" t="s">
        <v>2384</v>
      </c>
      <c r="D105" s="27" t="s">
        <v>117</v>
      </c>
      <c r="E105" s="28" t="s">
        <v>2385</v>
      </c>
      <c r="F105" s="27" t="s">
        <v>2386</v>
      </c>
      <c r="G105" s="27" t="str">
        <f t="shared" si="56"/>
        <v>3829a412-ef2f-4014-ae3e-3cfdf3c51f4e_w256.webp</v>
      </c>
      <c r="H105" s="27" t="s">
        <v>833</v>
      </c>
      <c r="I105" s="28" t="s">
        <v>2387</v>
      </c>
      <c r="J105" s="140"/>
      <c r="K105" s="137" t="s">
        <v>2388</v>
      </c>
      <c r="L105" s="27" t="e">
        <f>VLOOKUP(C105,#REF!, 11, FALSE)</f>
        <v>#REF!</v>
      </c>
      <c r="M105" s="53" t="s">
        <v>2389</v>
      </c>
      <c r="N105" s="54" t="e">
        <f t="shared" ca="1" si="43"/>
        <v>#NAME?</v>
      </c>
      <c r="O105" s="28"/>
      <c r="P105" s="28"/>
      <c r="Q105" s="36" t="s">
        <v>2390</v>
      </c>
      <c r="R105" s="36" t="s">
        <v>2391</v>
      </c>
      <c r="S105" s="36">
        <v>914090509</v>
      </c>
      <c r="T105" s="36" t="s">
        <v>2392</v>
      </c>
      <c r="U105" s="36" t="s">
        <v>2392</v>
      </c>
      <c r="V105" s="36"/>
      <c r="W105" s="47">
        <f t="shared" si="64"/>
        <v>0</v>
      </c>
      <c r="X105" s="118" t="s">
        <v>2393</v>
      </c>
      <c r="Y105" s="28"/>
      <c r="Z105" s="28"/>
      <c r="AA105" s="115"/>
      <c r="AB105" s="35"/>
      <c r="AC105" s="53" t="s">
        <v>2394</v>
      </c>
      <c r="AD105" s="77" t="s">
        <v>2395</v>
      </c>
      <c r="AE105" s="19" t="s">
        <v>2396</v>
      </c>
      <c r="AF105" s="28"/>
      <c r="AG105" s="28"/>
      <c r="AH105" s="28"/>
      <c r="AI105" s="28"/>
      <c r="AJ105" s="41"/>
      <c r="AK105" s="41"/>
      <c r="AL105" s="18"/>
      <c r="AM105" s="28"/>
      <c r="AN105" s="27"/>
      <c r="AO105" s="26" t="s">
        <v>2397</v>
      </c>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7" t="s">
        <v>173</v>
      </c>
      <c r="BU105" s="42" t="s">
        <v>1401</v>
      </c>
      <c r="BV105" s="28" t="e">
        <f t="shared" ca="1" si="2"/>
        <v>#NAME?</v>
      </c>
      <c r="BW105" s="28"/>
      <c r="BX105" s="26" t="e">
        <f t="shared" si="65"/>
        <v>#REF!</v>
      </c>
      <c r="BY105" s="28" t="e">
        <v>#N/A</v>
      </c>
      <c r="BZ105" s="26" t="s">
        <v>2398</v>
      </c>
      <c r="CA105" s="27" t="e">
        <f>IF(ISERROR(VLOOKUP(BT105,#REF!, 11, FALSE)), VLOOKUP(CF105,#REF!, 7, FALSE), VLOOKUP(BT105, BR:CM, 11, FALSE))</f>
        <v>#REF!</v>
      </c>
      <c r="CB105" s="28"/>
      <c r="CC105" s="28"/>
      <c r="CD105" s="28"/>
      <c r="CE105" s="28"/>
      <c r="CF105" s="28"/>
      <c r="CG105" s="28"/>
    </row>
    <row r="106" spans="1:85" ht="15.75" customHeight="1" x14ac:dyDescent="0.2">
      <c r="A106" s="27" t="b">
        <v>1</v>
      </c>
      <c r="B106" s="139" t="s">
        <v>2399</v>
      </c>
      <c r="C106" s="50" t="s">
        <v>2399</v>
      </c>
      <c r="D106" s="27" t="s">
        <v>117</v>
      </c>
      <c r="E106" s="26" t="s">
        <v>2400</v>
      </c>
      <c r="F106" s="26" t="s">
        <v>2196</v>
      </c>
      <c r="G106" s="27" t="str">
        <f t="shared" si="56"/>
        <v>x</v>
      </c>
      <c r="H106" s="27" t="e">
        <f>IF(ISERROR(VLOOKUP(E106,#REF!, 6, FALSE)), VLOOKUP(Q106,#REF!, 22, FALSE), VLOOKUP(E106,#REF!, 6, FALSE))</f>
        <v>#REF!</v>
      </c>
      <c r="I106" s="28" t="s">
        <v>2401</v>
      </c>
      <c r="J106" s="140"/>
      <c r="K106" s="137"/>
      <c r="L106" s="27" t="e">
        <f>VLOOKUP(C106,#REF!, 11, FALSE)</f>
        <v>#REF!</v>
      </c>
      <c r="M106" s="46" t="e">
        <f ca="1">IF(ISERROR(VLOOKUP(E106,#REF!, 4, FALSE)), IF(OR(ISERROR(VLOOKUP(Q106,#REF!, 25, FALSE)), ISBLANK(VLOOKUP(Q106,#REF!, 25, FALSE))), BV106, VLOOKUP(Q106,#REF!, 25, FALSE)), VLOOKUP(E106,#REF!, 4, FALSE))</f>
        <v>#NAME?</v>
      </c>
      <c r="N106" s="54" t="e">
        <f t="shared" ca="1" si="43"/>
        <v>#NAME?</v>
      </c>
      <c r="O106" s="28"/>
      <c r="P106" s="28"/>
      <c r="Q106" s="78" t="s">
        <v>2402</v>
      </c>
      <c r="R106" s="36" t="e">
        <f>VLOOKUP(E106,#REF!, 8, FALSE)</f>
        <v>#REF!</v>
      </c>
      <c r="S106" s="36" t="str">
        <f t="shared" ref="S106:S107" si="66">Q106</f>
        <v>Đã nhắn tin</v>
      </c>
      <c r="T106" s="36" t="str">
        <f t="shared" ref="T106:T107" si="67">"84"&amp;IF(LEN(Q106)=10, RIGHT(Q106,9), Q106)</f>
        <v>84Đã nhắn tin</v>
      </c>
      <c r="U106" s="36" t="str">
        <f t="shared" ref="U106:U107" si="68">"84"&amp;IF(LEN(Q106)=10, RIGHT(Q106,9), Q106)</f>
        <v>84Đã nhắn tin</v>
      </c>
      <c r="V106" s="36"/>
      <c r="W106" s="47" t="e">
        <f t="shared" si="64"/>
        <v>#REF!</v>
      </c>
      <c r="X106" s="35" t="e">
        <f>IF(ISERROR(VLOOKUP(E106,#REF!, 9, FALSE)), VLOOKUP(Q106,#REF!, 16, FALSE), VLOOKUP(E106,#REF!, 9, FALSE))</f>
        <v>#REF!</v>
      </c>
      <c r="Y106" s="28" t="e">
        <f>VLOOKUP(E106,#REF!, 10, FALSE)</f>
        <v>#REF!</v>
      </c>
      <c r="Z106" s="28" t="e">
        <f>VLOOKUP(E106,#REF!, 11, FALSE)</f>
        <v>#REF!</v>
      </c>
      <c r="AA106" s="97" t="s">
        <v>132</v>
      </c>
      <c r="AB106" s="35" t="e">
        <f>VLOOKUP(E106,#REF!, 12, FALSE)</f>
        <v>#REF!</v>
      </c>
      <c r="AC106" s="28"/>
      <c r="AD106" s="111" t="e">
        <f>VLOOKUP(E106,#REF!, 3, FALSE)</f>
        <v>#REF!</v>
      </c>
      <c r="AE106" s="18"/>
      <c r="AF106" s="28"/>
      <c r="AG106" s="28"/>
      <c r="AH106" s="28"/>
      <c r="AI106" s="28"/>
      <c r="AJ106" s="41" t="e">
        <v>#N/A</v>
      </c>
      <c r="AK106" s="41" t="s">
        <v>2403</v>
      </c>
      <c r="AL106" s="41" t="e">
        <v>#N/A</v>
      </c>
      <c r="AM106" s="28"/>
      <c r="AN106" s="27"/>
      <c r="AO106" s="27" t="e">
        <v>#N/A</v>
      </c>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7" t="s">
        <v>173</v>
      </c>
      <c r="BU106" s="42" t="s">
        <v>1401</v>
      </c>
      <c r="BV106" s="28" t="e">
        <f t="shared" ca="1" si="2"/>
        <v>#NAME?</v>
      </c>
      <c r="BW106" s="28"/>
      <c r="BX106" s="26" t="e">
        <f t="shared" si="65"/>
        <v>#REF!</v>
      </c>
      <c r="BY106" s="28" t="e">
        <v>#N/A</v>
      </c>
      <c r="BZ106" s="27" t="e">
        <f>VLOOKUP(BX106,#REF!, 15, FALSE)</f>
        <v>#REF!</v>
      </c>
      <c r="CA106" s="27" t="e">
        <f>IF(ISERROR(VLOOKUP(BT106,#REF!, 11, FALSE)), VLOOKUP(CF106,#REF!, 7, FALSE), VLOOKUP(BT106, BR:CM, 11, FALSE))</f>
        <v>#REF!</v>
      </c>
      <c r="CB106" s="28"/>
      <c r="CC106" s="28"/>
      <c r="CD106" s="28"/>
      <c r="CE106" s="28"/>
      <c r="CF106" s="28"/>
      <c r="CG106" s="28"/>
    </row>
    <row r="107" spans="1:85" ht="15.75" customHeight="1" x14ac:dyDescent="0.2">
      <c r="A107" s="27" t="b">
        <v>1</v>
      </c>
      <c r="B107" s="139" t="s">
        <v>2404</v>
      </c>
      <c r="C107" s="50" t="s">
        <v>2404</v>
      </c>
      <c r="D107" s="27" t="s">
        <v>117</v>
      </c>
      <c r="E107" s="28" t="s">
        <v>2405</v>
      </c>
      <c r="F107" s="26" t="s">
        <v>2196</v>
      </c>
      <c r="G107" s="27" t="str">
        <f t="shared" si="56"/>
        <v>x</v>
      </c>
      <c r="H107" s="27" t="e">
        <f>IF(ISERROR(VLOOKUP(E107,#REF!, 6, FALSE)), VLOOKUP(Q107,#REF!, 22, FALSE), VLOOKUP(E107,#REF!, 6, FALSE))</f>
        <v>#REF!</v>
      </c>
      <c r="I107" s="28" t="s">
        <v>2406</v>
      </c>
      <c r="J107" s="140"/>
      <c r="K107" s="137" t="s">
        <v>2407</v>
      </c>
      <c r="L107" s="27" t="e">
        <f>VLOOKUP(C107,#REF!, 11, FALSE)</f>
        <v>#REF!</v>
      </c>
      <c r="M107" s="46" t="e">
        <f ca="1">p_LayTTDN_Full(K107, "dc")</f>
        <v>#NAME?</v>
      </c>
      <c r="N107" s="54" t="e">
        <f t="shared" ca="1" si="43"/>
        <v>#NAME?</v>
      </c>
      <c r="O107" s="28"/>
      <c r="P107" s="28"/>
      <c r="Q107" s="84" t="s">
        <v>2408</v>
      </c>
      <c r="R107" s="36" t="e">
        <f>VLOOKUP(E107,#REF!, 8, FALSE)</f>
        <v>#REF!</v>
      </c>
      <c r="S107" s="36" t="str">
        <f t="shared" si="66"/>
        <v>0983777567</v>
      </c>
      <c r="T107" s="36" t="str">
        <f t="shared" si="67"/>
        <v>84983777567</v>
      </c>
      <c r="U107" s="36" t="str">
        <f t="shared" si="68"/>
        <v>84983777567</v>
      </c>
      <c r="V107" s="36"/>
      <c r="W107" s="47" t="e">
        <f t="shared" si="64"/>
        <v>#REF!</v>
      </c>
      <c r="X107" s="35" t="e">
        <f>IF(ISERROR(VLOOKUP(E107,#REF!, 9, FALSE)), VLOOKUP(Q107,#REF!, 16, FALSE), VLOOKUP(E107,#REF!, 9, FALSE))</f>
        <v>#REF!</v>
      </c>
      <c r="Y107" s="28" t="e">
        <f>VLOOKUP(E107,#REF!, 10, FALSE)</f>
        <v>#REF!</v>
      </c>
      <c r="Z107" s="28" t="e">
        <f>VLOOKUP(E107,#REF!, 11, FALSE)</f>
        <v>#REF!</v>
      </c>
      <c r="AA107" s="97" t="s">
        <v>132</v>
      </c>
      <c r="AB107" s="35" t="e">
        <f>VLOOKUP(E107,#REF!, 12, FALSE)</f>
        <v>#REF!</v>
      </c>
      <c r="AC107" s="28"/>
      <c r="AD107" s="111" t="e">
        <f>VLOOKUP(E107,#REF!, 3, FALSE)</f>
        <v>#REF!</v>
      </c>
      <c r="AE107" s="18"/>
      <c r="AF107" s="28"/>
      <c r="AG107" s="28"/>
      <c r="AH107" s="28"/>
      <c r="AI107" s="28"/>
      <c r="AJ107" s="41" t="e">
        <v>#N/A</v>
      </c>
      <c r="AK107" s="41" t="s">
        <v>2409</v>
      </c>
      <c r="AL107" s="41" t="e">
        <v>#N/A</v>
      </c>
      <c r="AM107" s="28"/>
      <c r="AN107" s="27"/>
      <c r="AO107" s="27" t="e">
        <v>#N/A</v>
      </c>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7" t="s">
        <v>173</v>
      </c>
      <c r="BU107" s="42" t="s">
        <v>1401</v>
      </c>
      <c r="BV107" s="28" t="e">
        <f t="shared" ca="1" si="2"/>
        <v>#NAME?</v>
      </c>
      <c r="BW107" s="28"/>
      <c r="BX107" s="26" t="e">
        <f t="shared" si="65"/>
        <v>#REF!</v>
      </c>
      <c r="BY107" s="28" t="e">
        <v>#N/A</v>
      </c>
      <c r="BZ107" s="27" t="e">
        <f>VLOOKUP(BX107,#REF!, 15, FALSE)</f>
        <v>#REF!</v>
      </c>
      <c r="CA107" s="27" t="e">
        <f>IF(ISERROR(VLOOKUP(BT107,#REF!, 11, FALSE)), VLOOKUP(CF107,#REF!, 7, FALSE), VLOOKUP(BT107, BR:CM, 11, FALSE))</f>
        <v>#REF!</v>
      </c>
      <c r="CB107" s="28"/>
      <c r="CC107" s="28"/>
      <c r="CD107" s="28"/>
      <c r="CE107" s="28"/>
      <c r="CF107" s="28"/>
      <c r="CG107" s="28"/>
    </row>
    <row r="108" spans="1:85" ht="15.75" customHeight="1" x14ac:dyDescent="0.2">
      <c r="A108" s="27" t="b">
        <v>1</v>
      </c>
      <c r="B108" s="32" t="s">
        <v>2410</v>
      </c>
      <c r="C108" s="50" t="s">
        <v>2410</v>
      </c>
      <c r="D108" s="27" t="s">
        <v>117</v>
      </c>
      <c r="E108" s="28" t="s">
        <v>2411</v>
      </c>
      <c r="F108" s="27" t="s">
        <v>2412</v>
      </c>
      <c r="G108" s="27" t="str">
        <f t="shared" si="56"/>
        <v>FxfPK_w256.webp</v>
      </c>
      <c r="H108" s="26" t="s">
        <v>2413</v>
      </c>
      <c r="I108" s="26" t="s">
        <v>2414</v>
      </c>
      <c r="J108" s="42" t="s">
        <v>2415</v>
      </c>
      <c r="K108" s="137"/>
      <c r="L108" s="26" t="s">
        <v>2416</v>
      </c>
      <c r="M108" s="53" t="s">
        <v>2417</v>
      </c>
      <c r="N108" s="54" t="e">
        <f t="shared" ca="1" si="43"/>
        <v>#NAME?</v>
      </c>
      <c r="O108" s="26" t="s">
        <v>2418</v>
      </c>
      <c r="P108" s="54" t="e">
        <f ca="1">p_GMapLink(O108)</f>
        <v>#NAME?</v>
      </c>
      <c r="Q108" s="36" t="s">
        <v>2419</v>
      </c>
      <c r="R108" s="78" t="s">
        <v>2420</v>
      </c>
      <c r="S108" s="36" t="s">
        <v>2419</v>
      </c>
      <c r="T108" s="36" t="s">
        <v>2421</v>
      </c>
      <c r="U108" s="36" t="s">
        <v>2421</v>
      </c>
      <c r="V108" s="36"/>
      <c r="W108" s="37" t="str">
        <f t="shared" si="64"/>
        <v>https://www.facebook.com/vietnhattan.com.vn</v>
      </c>
      <c r="X108" s="35" t="s">
        <v>2422</v>
      </c>
      <c r="Y108" s="57" t="s">
        <v>2423</v>
      </c>
      <c r="Z108" s="28"/>
      <c r="AA108" s="115"/>
      <c r="AB108" s="35"/>
      <c r="AC108" s="19" t="s">
        <v>2424</v>
      </c>
      <c r="AD108" s="19" t="s">
        <v>2425</v>
      </c>
      <c r="AE108" s="19" t="s">
        <v>2426</v>
      </c>
      <c r="AF108" s="19" t="s">
        <v>2427</v>
      </c>
      <c r="AG108" s="19" t="s">
        <v>2428</v>
      </c>
      <c r="AH108" s="19" t="s">
        <v>2429</v>
      </c>
      <c r="AI108" s="19" t="s">
        <v>2430</v>
      </c>
      <c r="AJ108" s="19" t="s">
        <v>2431</v>
      </c>
      <c r="AK108" s="41"/>
      <c r="AL108" s="41"/>
      <c r="AM108" s="28"/>
      <c r="AN108" s="27"/>
      <c r="AO108" s="26" t="s">
        <v>2432</v>
      </c>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36"/>
      <c r="BT108" s="27" t="s">
        <v>173</v>
      </c>
      <c r="BU108" s="42" t="s">
        <v>151</v>
      </c>
      <c r="BV108" s="28" t="e">
        <f t="shared" ca="1" si="2"/>
        <v>#NAME?</v>
      </c>
      <c r="BW108" s="28"/>
      <c r="BX108" s="26" t="str">
        <f t="shared" si="65"/>
        <v>logovietnhattan-1174.png</v>
      </c>
      <c r="BY108" s="28" t="s">
        <v>2433</v>
      </c>
      <c r="BZ108" s="26" t="s">
        <v>2434</v>
      </c>
      <c r="CA108" s="26" t="s">
        <v>2416</v>
      </c>
      <c r="CB108" s="28"/>
      <c r="CC108" s="28"/>
      <c r="CD108" s="28"/>
      <c r="CE108" s="28"/>
      <c r="CF108" s="28"/>
      <c r="CG108" s="28"/>
    </row>
    <row r="109" spans="1:85" ht="15.75" customHeight="1" x14ac:dyDescent="0.2">
      <c r="A109" s="27" t="b">
        <v>1</v>
      </c>
      <c r="B109" s="114" t="s">
        <v>2435</v>
      </c>
      <c r="C109" s="50" t="s">
        <v>2435</v>
      </c>
      <c r="D109" s="27" t="s">
        <v>117</v>
      </c>
      <c r="E109" s="28" t="s">
        <v>2436</v>
      </c>
      <c r="F109" s="27" t="s">
        <v>2437</v>
      </c>
      <c r="G109" s="27" t="str">
        <f t="shared" si="56"/>
        <v>CEO_PNG_w256.webp</v>
      </c>
      <c r="H109" s="26" t="s">
        <v>1042</v>
      </c>
      <c r="I109" s="26" t="s">
        <v>2438</v>
      </c>
      <c r="J109" s="42" t="s">
        <v>2439</v>
      </c>
      <c r="K109" s="137" t="s">
        <v>2440</v>
      </c>
      <c r="L109" s="26" t="s">
        <v>2441</v>
      </c>
      <c r="M109" s="53" t="s">
        <v>2442</v>
      </c>
      <c r="N109" s="54" t="e">
        <f t="shared" ca="1" si="43"/>
        <v>#NAME?</v>
      </c>
      <c r="O109" s="28"/>
      <c r="P109" s="28"/>
      <c r="Q109" s="78" t="s">
        <v>2443</v>
      </c>
      <c r="R109" s="78" t="s">
        <v>2444</v>
      </c>
      <c r="S109" s="36" t="str">
        <f t="shared" ref="S109:S113" si="69">Q109</f>
        <v>0933442347</v>
      </c>
      <c r="T109" s="36" t="str">
        <f t="shared" ref="T109:T113" si="70">"84"&amp;IF(LEN(Q109)=10, RIGHT(Q109,9), Q109)</f>
        <v>84933442347</v>
      </c>
      <c r="U109" s="36" t="str">
        <f t="shared" ref="U109:U113" si="71">"84"&amp;IF(LEN(Q109)=10, RIGHT(Q109,9), Q109)</f>
        <v>84933442347</v>
      </c>
      <c r="V109" s="36"/>
      <c r="W109" s="47">
        <f t="shared" si="64"/>
        <v>0</v>
      </c>
      <c r="X109" s="38" t="s">
        <v>2445</v>
      </c>
      <c r="Y109" s="28"/>
      <c r="Z109" s="28"/>
      <c r="AA109" s="97" t="s">
        <v>132</v>
      </c>
      <c r="AB109" s="35"/>
      <c r="AC109" s="19" t="s">
        <v>2446</v>
      </c>
      <c r="AD109" s="19" t="s">
        <v>2447</v>
      </c>
      <c r="AE109" s="19" t="s">
        <v>2448</v>
      </c>
      <c r="AF109" s="19" t="s">
        <v>2449</v>
      </c>
      <c r="AG109" s="19" t="s">
        <v>2450</v>
      </c>
      <c r="AH109" s="19" t="s">
        <v>2451</v>
      </c>
      <c r="AI109" s="19" t="s">
        <v>2452</v>
      </c>
      <c r="AJ109" s="19" t="s">
        <v>2453</v>
      </c>
      <c r="AK109" s="41"/>
      <c r="AL109" s="41"/>
      <c r="AM109" s="28"/>
      <c r="AN109" s="27"/>
      <c r="AO109" s="26" t="s">
        <v>2454</v>
      </c>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7" t="s">
        <v>173</v>
      </c>
      <c r="BU109" s="42" t="s">
        <v>151</v>
      </c>
      <c r="BV109" s="28" t="e">
        <f t="shared" ca="1" si="2"/>
        <v>#NAME?</v>
      </c>
      <c r="BW109" s="28"/>
      <c r="BX109" s="26" t="str">
        <f t="shared" si="65"/>
        <v>duckimtinh-90x88.png</v>
      </c>
      <c r="BY109" s="28" t="s">
        <v>2455</v>
      </c>
      <c r="BZ109" s="26" t="s">
        <v>2456</v>
      </c>
      <c r="CA109" s="26" t="s">
        <v>2441</v>
      </c>
      <c r="CB109" s="28"/>
      <c r="CC109" s="28"/>
      <c r="CD109" s="28"/>
      <c r="CE109" s="28"/>
      <c r="CF109" s="28"/>
      <c r="CG109" s="28"/>
    </row>
    <row r="110" spans="1:85" ht="15.75" customHeight="1" x14ac:dyDescent="0.2">
      <c r="A110" s="27" t="b">
        <v>1</v>
      </c>
      <c r="B110" s="139" t="s">
        <v>2457</v>
      </c>
      <c r="C110" s="50" t="s">
        <v>2457</v>
      </c>
      <c r="D110" s="26" t="s">
        <v>409</v>
      </c>
      <c r="E110" s="28" t="s">
        <v>2458</v>
      </c>
      <c r="F110" s="27" t="s">
        <v>2459</v>
      </c>
      <c r="G110" s="27" t="str">
        <f t="shared" si="56"/>
        <v>8ccf6c8a-612c-4fa7-ace8-c18fff9caced_w256.webp</v>
      </c>
      <c r="H110" s="26" t="s">
        <v>833</v>
      </c>
      <c r="I110" s="26" t="s">
        <v>2460</v>
      </c>
      <c r="J110" s="42" t="s">
        <v>2461</v>
      </c>
      <c r="K110" s="137" t="s">
        <v>2462</v>
      </c>
      <c r="L110" s="26" t="s">
        <v>2463</v>
      </c>
      <c r="M110" s="53" t="s">
        <v>2464</v>
      </c>
      <c r="N110" s="54" t="e">
        <f t="shared" ca="1" si="43"/>
        <v>#NAME?</v>
      </c>
      <c r="O110" s="28"/>
      <c r="P110" s="28"/>
      <c r="Q110" s="78" t="s">
        <v>2402</v>
      </c>
      <c r="R110" s="78" t="s">
        <v>2465</v>
      </c>
      <c r="S110" s="36" t="str">
        <f t="shared" si="69"/>
        <v>Đã nhắn tin</v>
      </c>
      <c r="T110" s="36" t="str">
        <f t="shared" si="70"/>
        <v>84Đã nhắn tin</v>
      </c>
      <c r="U110" s="36" t="str">
        <f t="shared" si="71"/>
        <v>84Đã nhắn tin</v>
      </c>
      <c r="V110" s="36"/>
      <c r="W110" s="47">
        <f t="shared" si="64"/>
        <v>0</v>
      </c>
      <c r="X110" s="118" t="s">
        <v>2466</v>
      </c>
      <c r="Y110" s="28"/>
      <c r="Z110" s="28"/>
      <c r="AA110" s="97" t="s">
        <v>132</v>
      </c>
      <c r="AB110" s="35"/>
      <c r="AC110" s="26" t="s">
        <v>2467</v>
      </c>
      <c r="AD110" s="77" t="s">
        <v>2468</v>
      </c>
      <c r="AE110" s="19" t="s">
        <v>2469</v>
      </c>
      <c r="AF110" s="26" t="s">
        <v>2470</v>
      </c>
      <c r="AG110" s="28"/>
      <c r="AH110" s="28"/>
      <c r="AI110" s="28"/>
      <c r="AJ110" s="41"/>
      <c r="AK110" s="41"/>
      <c r="AL110" s="41"/>
      <c r="AM110" s="28"/>
      <c r="AN110" s="27"/>
      <c r="AO110" s="27"/>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7" t="s">
        <v>173</v>
      </c>
      <c r="BU110" s="42" t="s">
        <v>1401</v>
      </c>
      <c r="BV110" s="28" t="e">
        <f t="shared" ca="1" si="2"/>
        <v>#NAME?</v>
      </c>
      <c r="BW110" s="28"/>
      <c r="BX110" s="26" t="str">
        <f t="shared" si="65"/>
        <v>5a9f9d8d-4f9b-4bc9-a3d6-c867a1dcca67.jpg</v>
      </c>
      <c r="BY110" s="28" t="s">
        <v>2471</v>
      </c>
      <c r="BZ110" s="26" t="s">
        <v>2472</v>
      </c>
      <c r="CA110" s="26" t="s">
        <v>2463</v>
      </c>
      <c r="CB110" s="28"/>
      <c r="CC110" s="28"/>
      <c r="CD110" s="28"/>
      <c r="CE110" s="28"/>
      <c r="CF110" s="28"/>
      <c r="CG110" s="28"/>
    </row>
    <row r="111" spans="1:85" ht="15.75" customHeight="1" x14ac:dyDescent="0.2">
      <c r="A111" s="30" t="b">
        <v>1</v>
      </c>
      <c r="B111" s="31" t="s">
        <v>2473</v>
      </c>
      <c r="C111" s="50" t="s">
        <v>2473</v>
      </c>
      <c r="D111" s="27" t="s">
        <v>117</v>
      </c>
      <c r="E111" s="28" t="s">
        <v>2474</v>
      </c>
      <c r="F111" s="27" t="s">
        <v>2475</v>
      </c>
      <c r="G111" s="27" t="str">
        <f t="shared" si="56"/>
        <v>founder Hieu Quang Tri 2_w256.webp</v>
      </c>
      <c r="H111" s="26" t="s">
        <v>2476</v>
      </c>
      <c r="I111" s="28" t="s">
        <v>2477</v>
      </c>
      <c r="J111" s="42" t="s">
        <v>2478</v>
      </c>
      <c r="K111" s="137" t="s">
        <v>2479</v>
      </c>
      <c r="L111" s="26" t="s">
        <v>2480</v>
      </c>
      <c r="M111" s="53" t="s">
        <v>2481</v>
      </c>
      <c r="N111" s="54" t="e">
        <f t="shared" ca="1" si="43"/>
        <v>#NAME?</v>
      </c>
      <c r="O111" s="28"/>
      <c r="P111" s="28"/>
      <c r="Q111" s="78" t="s">
        <v>2482</v>
      </c>
      <c r="R111" s="78" t="s">
        <v>2483</v>
      </c>
      <c r="S111" s="36" t="str">
        <f t="shared" si="69"/>
        <v>0985950506</v>
      </c>
      <c r="T111" s="36" t="str">
        <f t="shared" si="70"/>
        <v>84985950506</v>
      </c>
      <c r="U111" s="36" t="str">
        <f t="shared" si="71"/>
        <v>84985950506</v>
      </c>
      <c r="V111" s="36"/>
      <c r="W111" s="79" t="s">
        <v>2484</v>
      </c>
      <c r="X111" s="38" t="s">
        <v>2485</v>
      </c>
      <c r="Y111" s="28" t="e">
        <f>VLOOKUP(E111,#REF!, 10, FALSE)</f>
        <v>#REF!</v>
      </c>
      <c r="Z111" s="54" t="s">
        <v>2486</v>
      </c>
      <c r="AA111" s="97" t="s">
        <v>132</v>
      </c>
      <c r="AB111" s="35" t="e">
        <f>VLOOKUP(E111,#REF!, 12, FALSE)</f>
        <v>#REF!</v>
      </c>
      <c r="AC111" s="19" t="s">
        <v>2487</v>
      </c>
      <c r="AD111" s="19" t="s">
        <v>2488</v>
      </c>
      <c r="AE111" s="19" t="s">
        <v>2489</v>
      </c>
      <c r="AF111" s="19" t="s">
        <v>2490</v>
      </c>
      <c r="AG111" s="19" t="s">
        <v>2491</v>
      </c>
      <c r="AH111" s="19" t="s">
        <v>2492</v>
      </c>
      <c r="AI111" s="19" t="s">
        <v>2493</v>
      </c>
      <c r="AJ111" s="19" t="s">
        <v>2494</v>
      </c>
      <c r="AK111" s="41"/>
      <c r="AL111" s="41"/>
      <c r="AM111" s="19" t="s">
        <v>2495</v>
      </c>
      <c r="AN111" s="18"/>
      <c r="AO111" s="26" t="s">
        <v>2496</v>
      </c>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6" t="s">
        <v>150</v>
      </c>
      <c r="BU111" s="42" t="s">
        <v>151</v>
      </c>
      <c r="BV111" s="28" t="e">
        <f t="shared" ca="1" si="2"/>
        <v>#NAME?</v>
      </c>
      <c r="BW111" s="28"/>
      <c r="BX111" s="26" t="str">
        <f t="shared" si="65"/>
        <v>1-09.jpg</v>
      </c>
      <c r="BY111" s="28" t="s">
        <v>2497</v>
      </c>
      <c r="BZ111" s="42" t="s">
        <v>2498</v>
      </c>
      <c r="CA111" s="26" t="s">
        <v>2480</v>
      </c>
      <c r="CB111" s="28"/>
      <c r="CC111" s="28"/>
      <c r="CD111" s="28"/>
      <c r="CE111" s="28"/>
      <c r="CF111" s="28"/>
      <c r="CG111" s="28"/>
    </row>
    <row r="112" spans="1:85" ht="15.75" customHeight="1" x14ac:dyDescent="0.2">
      <c r="A112" s="30" t="b">
        <v>1</v>
      </c>
      <c r="B112" s="31" t="s">
        <v>2499</v>
      </c>
      <c r="C112" s="50" t="s">
        <v>2499</v>
      </c>
      <c r="D112" s="26" t="s">
        <v>409</v>
      </c>
      <c r="E112" s="28" t="s">
        <v>2500</v>
      </c>
      <c r="F112" s="27" t="s">
        <v>2501</v>
      </c>
      <c r="G112" s="27" t="str">
        <f t="shared" si="56"/>
        <v>DHZ_8464 - le thi cam huong_w256.webp</v>
      </c>
      <c r="H112" s="27" t="e">
        <f>IF(ISERROR(VLOOKUP(E112,#REF!, 6, FALSE)), VLOOKUP(Q112,#REF!, 22, FALSE), VLOOKUP(E112,#REF!, 6, FALSE))</f>
        <v>#REF!</v>
      </c>
      <c r="I112" s="40" t="s">
        <v>2502</v>
      </c>
      <c r="J112" s="42" t="s">
        <v>2503</v>
      </c>
      <c r="K112" s="121" t="s">
        <v>2504</v>
      </c>
      <c r="L112" s="26" t="s">
        <v>2505</v>
      </c>
      <c r="M112" s="53" t="s">
        <v>2506</v>
      </c>
      <c r="N112" s="54" t="e">
        <f t="shared" ca="1" si="43"/>
        <v>#NAME?</v>
      </c>
      <c r="O112" s="28"/>
      <c r="P112" s="28"/>
      <c r="Q112" s="78" t="e">
        <f>VLOOKUP(E112,#REF!, 7, FALSE)</f>
        <v>#REF!</v>
      </c>
      <c r="R112" s="36" t="e">
        <f>VLOOKUP(E112,#REF!, 8, FALSE)</f>
        <v>#REF!</v>
      </c>
      <c r="S112" s="36" t="e">
        <f t="shared" si="69"/>
        <v>#REF!</v>
      </c>
      <c r="T112" s="36" t="e">
        <f t="shared" si="70"/>
        <v>#REF!</v>
      </c>
      <c r="U112" s="36" t="e">
        <f t="shared" si="71"/>
        <v>#REF!</v>
      </c>
      <c r="V112" s="36"/>
      <c r="W112" s="37" t="str">
        <f t="shared" ref="W112:W121" si="72">Y112</f>
        <v>https://fb.com/share/1AqAy85Jwa</v>
      </c>
      <c r="X112" s="38" t="s">
        <v>2507</v>
      </c>
      <c r="Y112" s="38" t="s">
        <v>2508</v>
      </c>
      <c r="Z112" s="18"/>
      <c r="AA112" s="97" t="s">
        <v>132</v>
      </c>
      <c r="AB112" s="35" t="e">
        <f>VLOOKUP(E112,#REF!, 12, FALSE)</f>
        <v>#REF!</v>
      </c>
      <c r="AC112" s="19" t="s">
        <v>2509</v>
      </c>
      <c r="AD112" s="19" t="s">
        <v>2510</v>
      </c>
      <c r="AE112" s="19" t="s">
        <v>2511</v>
      </c>
      <c r="AF112" s="19" t="s">
        <v>2512</v>
      </c>
      <c r="AG112" s="19" t="s">
        <v>2513</v>
      </c>
      <c r="AH112" s="19" t="s">
        <v>2514</v>
      </c>
      <c r="AI112" s="28"/>
      <c r="AJ112" s="41"/>
      <c r="AK112" s="41"/>
      <c r="AL112" s="41"/>
      <c r="AM112" s="26" t="s">
        <v>2515</v>
      </c>
      <c r="AN112" s="27"/>
      <c r="AO112" s="26" t="s">
        <v>2516</v>
      </c>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6" t="s">
        <v>150</v>
      </c>
      <c r="BU112" s="42" t="s">
        <v>151</v>
      </c>
      <c r="BV112" s="28" t="e">
        <f t="shared" ca="1" si="2"/>
        <v>#NAME?</v>
      </c>
      <c r="BW112" s="28"/>
      <c r="BX112" s="26" t="str">
        <f t="shared" si="65"/>
        <v>02c31208f34dad436a5a57abc90b78b6.jpg</v>
      </c>
      <c r="BY112" s="28" t="s">
        <v>2517</v>
      </c>
      <c r="BZ112" s="26" t="s">
        <v>2518</v>
      </c>
      <c r="CA112" s="26" t="s">
        <v>2505</v>
      </c>
      <c r="CB112" s="28"/>
      <c r="CC112" s="28"/>
      <c r="CD112" s="28"/>
      <c r="CE112" s="28"/>
      <c r="CF112" s="28"/>
      <c r="CG112" s="28"/>
    </row>
    <row r="113" spans="1:85" ht="15.75" customHeight="1" x14ac:dyDescent="0.2">
      <c r="A113" s="141" t="b">
        <v>0</v>
      </c>
      <c r="B113" s="139" t="s">
        <v>2519</v>
      </c>
      <c r="C113" s="50" t="s">
        <v>2519</v>
      </c>
      <c r="D113" s="27" t="s">
        <v>117</v>
      </c>
      <c r="E113" s="28" t="s">
        <v>2520</v>
      </c>
      <c r="F113" s="26" t="s">
        <v>2196</v>
      </c>
      <c r="G113" s="27" t="str">
        <f t="shared" si="56"/>
        <v>x</v>
      </c>
      <c r="H113" s="27" t="e">
        <f>IF(ISERROR(VLOOKUP(E113,#REF!, 6, FALSE)), VLOOKUP(Q113,#REF!, 22, FALSE), VLOOKUP(E113,#REF!, 6, FALSE))</f>
        <v>#REF!</v>
      </c>
      <c r="I113" s="28" t="s">
        <v>2521</v>
      </c>
      <c r="J113" s="140"/>
      <c r="K113" s="137" t="s">
        <v>2522</v>
      </c>
      <c r="L113" s="27" t="e">
        <f>VLOOKUP(C113,#REF!, 11, FALSE)</f>
        <v>#REF!</v>
      </c>
      <c r="M113" s="46" t="e">
        <f ca="1">IF(ISERROR(VLOOKUP(E113,#REF!, 4, FALSE)), IF(OR(ISERROR(VLOOKUP(Q113,#REF!, 25, FALSE)), ISBLANK(VLOOKUP(Q113,#REF!, 25, FALSE))), BV113, VLOOKUP(Q113,#REF!, 25, FALSE)), VLOOKUP(E113,#REF!, 4, FALSE))</f>
        <v>#NAME?</v>
      </c>
      <c r="N113" s="54" t="e">
        <f t="shared" ca="1" si="43"/>
        <v>#NAME?</v>
      </c>
      <c r="O113" s="28"/>
      <c r="P113" s="28"/>
      <c r="Q113" s="78" t="s">
        <v>2402</v>
      </c>
      <c r="R113" s="36" t="e">
        <f>VLOOKUP(E113,#REF!, 8, FALSE)</f>
        <v>#REF!</v>
      </c>
      <c r="S113" s="36" t="str">
        <f t="shared" si="69"/>
        <v>Đã nhắn tin</v>
      </c>
      <c r="T113" s="36" t="str">
        <f t="shared" si="70"/>
        <v>84Đã nhắn tin</v>
      </c>
      <c r="U113" s="36" t="str">
        <f t="shared" si="71"/>
        <v>84Đã nhắn tin</v>
      </c>
      <c r="V113" s="36"/>
      <c r="W113" s="47" t="e">
        <f t="shared" si="72"/>
        <v>#REF!</v>
      </c>
      <c r="X113" s="35" t="e">
        <f>IF(ISERROR(VLOOKUP(E113,#REF!, 9, FALSE)), VLOOKUP(Q113,#REF!, 16, FALSE), VLOOKUP(E113,#REF!, 9, FALSE))</f>
        <v>#REF!</v>
      </c>
      <c r="Y113" s="28" t="e">
        <f>VLOOKUP(E113,#REF!, 10, FALSE)</f>
        <v>#REF!</v>
      </c>
      <c r="Z113" s="28" t="e">
        <f>VLOOKUP(E113,#REF!, 11, FALSE)</f>
        <v>#REF!</v>
      </c>
      <c r="AA113" s="28"/>
      <c r="AB113" s="35" t="e">
        <f>VLOOKUP(E113,#REF!, 12, FALSE)</f>
        <v>#REF!</v>
      </c>
      <c r="AC113" s="28" t="s">
        <v>2523</v>
      </c>
      <c r="AD113" s="111" t="e">
        <f>VLOOKUP(E113,#REF!, 3, FALSE)</f>
        <v>#REF!</v>
      </c>
      <c r="AE113" s="18"/>
      <c r="AF113" s="28"/>
      <c r="AG113" s="28"/>
      <c r="AH113" s="28"/>
      <c r="AI113" s="28"/>
      <c r="AJ113" s="41" t="e">
        <v>#N/A</v>
      </c>
      <c r="AK113" s="41" t="e">
        <v>#N/A</v>
      </c>
      <c r="AL113" s="41" t="e">
        <v>#N/A</v>
      </c>
      <c r="AM113" s="28"/>
      <c r="AN113" s="27"/>
      <c r="AO113" s="27" t="e">
        <v>#N/A</v>
      </c>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7" t="s">
        <v>173</v>
      </c>
      <c r="BU113" s="42" t="s">
        <v>1401</v>
      </c>
      <c r="BV113" s="28" t="e">
        <f t="shared" ca="1" si="2"/>
        <v>#NAME?</v>
      </c>
      <c r="BW113" s="28"/>
      <c r="BX113" s="26" t="e">
        <f t="shared" si="65"/>
        <v>#REF!</v>
      </c>
      <c r="BY113" s="28" t="e">
        <v>#N/A</v>
      </c>
      <c r="BZ113" s="27" t="e">
        <f>VLOOKUP(BX113,#REF!, 15, FALSE)</f>
        <v>#REF!</v>
      </c>
      <c r="CA113" s="27" t="e">
        <f>IF(ISERROR(VLOOKUP(BT113,#REF!, 11, FALSE)), VLOOKUP(CF113,#REF!, 7, FALSE), VLOOKUP(BT113, BR:CM, 11, FALSE))</f>
        <v>#REF!</v>
      </c>
      <c r="CB113" s="28"/>
      <c r="CC113" s="28"/>
      <c r="CD113" s="28"/>
      <c r="CE113" s="28"/>
      <c r="CF113" s="28"/>
      <c r="CG113" s="28"/>
    </row>
    <row r="114" spans="1:85" ht="15.75" customHeight="1" x14ac:dyDescent="0.2">
      <c r="A114" s="27" t="b">
        <v>1</v>
      </c>
      <c r="B114" s="139" t="s">
        <v>2524</v>
      </c>
      <c r="C114" s="50" t="s">
        <v>2524</v>
      </c>
      <c r="D114" s="27" t="s">
        <v>117</v>
      </c>
      <c r="E114" s="28" t="s">
        <v>2525</v>
      </c>
      <c r="F114" s="26" t="s">
        <v>2196</v>
      </c>
      <c r="G114" s="27" t="str">
        <f t="shared" si="56"/>
        <v>x</v>
      </c>
      <c r="H114" s="27" t="s">
        <v>833</v>
      </c>
      <c r="I114" s="142" t="e">
        <v>#N/A</v>
      </c>
      <c r="J114" s="140"/>
      <c r="K114" s="137"/>
      <c r="L114" s="27" t="e">
        <f>VLOOKUP(C114,#REF!, 11, FALSE)</f>
        <v>#REF!</v>
      </c>
      <c r="M114" s="46" t="e">
        <f ca="1">IF(ISERROR(VLOOKUP(E114,#REF!, 4, FALSE)), IF(OR(ISERROR(VLOOKUP(Q114,#REF!, 25, FALSE)), ISBLANK(VLOOKUP(Q114,#REF!, 25, FALSE))), BV114, VLOOKUP(Q114,#REF!, 25, FALSE)), VLOOKUP(E114,#REF!, 4, FALSE))</f>
        <v>#NAME?</v>
      </c>
      <c r="N114" s="54" t="e">
        <f t="shared" ca="1" si="43"/>
        <v>#NAME?</v>
      </c>
      <c r="O114" s="28"/>
      <c r="P114" s="28"/>
      <c r="Q114" s="36" t="s">
        <v>2526</v>
      </c>
      <c r="R114" s="36" t="s">
        <v>2527</v>
      </c>
      <c r="S114" s="36" t="s">
        <v>2526</v>
      </c>
      <c r="T114" s="36" t="s">
        <v>2528</v>
      </c>
      <c r="U114" s="36" t="s">
        <v>2528</v>
      </c>
      <c r="V114" s="36"/>
      <c r="W114" s="47" t="e">
        <f t="shared" si="72"/>
        <v>#REF!</v>
      </c>
      <c r="X114" s="35" t="e">
        <f>IF(ISERROR(VLOOKUP(E114,#REF!, 9, FALSE)), VLOOKUP(Q114,#REF!, 16, FALSE), VLOOKUP(E114,#REF!, 9, FALSE))</f>
        <v>#REF!</v>
      </c>
      <c r="Y114" s="28" t="e">
        <f>VLOOKUP(E114,#REF!, 10, FALSE)</f>
        <v>#REF!</v>
      </c>
      <c r="Z114" s="28" t="e">
        <f>VLOOKUP(E114,#REF!, 11, FALSE)</f>
        <v>#REF!</v>
      </c>
      <c r="AA114" s="28"/>
      <c r="AB114" s="35" t="e">
        <f>VLOOKUP(E114,#REF!, 12, FALSE)</f>
        <v>#REF!</v>
      </c>
      <c r="AC114" s="28"/>
      <c r="AD114" s="111" t="e">
        <f>VLOOKUP(E114,#REF!, 3, FALSE)</f>
        <v>#REF!</v>
      </c>
      <c r="AE114" s="18"/>
      <c r="AF114" s="28"/>
      <c r="AG114" s="28"/>
      <c r="AH114" s="28"/>
      <c r="AI114" s="28"/>
      <c r="AJ114" s="41" t="e">
        <v>#N/A</v>
      </c>
      <c r="AK114" s="41" t="e">
        <v>#N/A</v>
      </c>
      <c r="AL114" s="41" t="e">
        <v>#N/A</v>
      </c>
      <c r="AM114" s="28"/>
      <c r="AN114" s="27"/>
      <c r="AO114" s="27" t="e">
        <v>#N/A</v>
      </c>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36"/>
      <c r="BT114" s="27" t="s">
        <v>173</v>
      </c>
      <c r="BU114" s="42" t="s">
        <v>1401</v>
      </c>
      <c r="BV114" s="28" t="e">
        <f t="shared" ca="1" si="2"/>
        <v>#NAME?</v>
      </c>
      <c r="BW114" s="28"/>
      <c r="BX114" s="26" t="e">
        <f t="shared" si="65"/>
        <v>#REF!</v>
      </c>
      <c r="BY114" s="28" t="e">
        <v>#VALUE!</v>
      </c>
      <c r="BZ114" s="27" t="e">
        <f>VLOOKUP(BX114,#REF!, 15, FALSE)</f>
        <v>#REF!</v>
      </c>
      <c r="CA114" s="27" t="e">
        <f>IF(ISERROR(VLOOKUP(BT114,#REF!, 11, FALSE)), VLOOKUP(CF114,#REF!, 7, FALSE), VLOOKUP(BT114, BR:CM, 11, FALSE))</f>
        <v>#REF!</v>
      </c>
      <c r="CB114" s="28"/>
      <c r="CC114" s="28"/>
      <c r="CD114" s="28"/>
      <c r="CE114" s="28"/>
      <c r="CF114" s="28"/>
      <c r="CG114" s="28"/>
    </row>
    <row r="115" spans="1:85" ht="15.75" customHeight="1" x14ac:dyDescent="0.2">
      <c r="A115" s="27" t="b">
        <v>1</v>
      </c>
      <c r="B115" s="139" t="s">
        <v>2529</v>
      </c>
      <c r="C115" s="50" t="s">
        <v>2529</v>
      </c>
      <c r="D115" s="27" t="s">
        <v>117</v>
      </c>
      <c r="E115" s="28" t="s">
        <v>2530</v>
      </c>
      <c r="F115" s="26" t="s">
        <v>2196</v>
      </c>
      <c r="G115" s="27" t="str">
        <f t="shared" si="56"/>
        <v>x</v>
      </c>
      <c r="H115" s="27" t="e">
        <f>IF(ISERROR(VLOOKUP(E115,#REF!, 6, FALSE)), VLOOKUP(Q115,#REF!, 22, FALSE), VLOOKUP(E115,#REF!, 6, FALSE))</f>
        <v>#REF!</v>
      </c>
      <c r="I115" s="28" t="s">
        <v>2531</v>
      </c>
      <c r="J115" s="140">
        <v>1</v>
      </c>
      <c r="K115" s="137" t="s">
        <v>2532</v>
      </c>
      <c r="L115" s="27" t="e">
        <f>VLOOKUP(C115,#REF!, 11, FALSE)</f>
        <v>#REF!</v>
      </c>
      <c r="M115" s="46" t="e">
        <f ca="1">IF(ISERROR(VLOOKUP(E115,#REF!, 4, FALSE)), IF(OR(ISERROR(VLOOKUP(Q115,#REF!, 25, FALSE)), ISBLANK(VLOOKUP(Q115,#REF!, 25, FALSE))), BV115, VLOOKUP(Q115,#REF!, 25, FALSE)), VLOOKUP(E115,#REF!, 4, FALSE))</f>
        <v>#NAME?</v>
      </c>
      <c r="N115" s="54" t="e">
        <f t="shared" ca="1" si="43"/>
        <v>#NAME?</v>
      </c>
      <c r="O115" s="27">
        <v>1</v>
      </c>
      <c r="P115" s="27">
        <v>1</v>
      </c>
      <c r="Q115" s="78" t="s">
        <v>2402</v>
      </c>
      <c r="R115" s="36" t="e">
        <f>VLOOKUP(E115,#REF!, 8, FALSE)</f>
        <v>#REF!</v>
      </c>
      <c r="S115" s="36" t="str">
        <f t="shared" ref="S115:S121" si="73">Q115</f>
        <v>Đã nhắn tin</v>
      </c>
      <c r="T115" s="36" t="str">
        <f t="shared" ref="T115:T121" si="74">"84"&amp;IF(LEN(Q115)=10, RIGHT(Q115,9), Q115)</f>
        <v>84Đã nhắn tin</v>
      </c>
      <c r="U115" s="36" t="str">
        <f t="shared" ref="U115:U121" si="75">"84"&amp;IF(LEN(Q115)=10, RIGHT(Q115,9), Q115)</f>
        <v>84Đã nhắn tin</v>
      </c>
      <c r="V115" s="36"/>
      <c r="W115" s="47" t="e">
        <f t="shared" si="72"/>
        <v>#REF!</v>
      </c>
      <c r="X115" s="35" t="e">
        <f>IF(ISERROR(VLOOKUP(E115,#REF!, 9, FALSE)), VLOOKUP(Q115,#REF!, 16, FALSE), VLOOKUP(E115,#REF!, 9, FALSE))</f>
        <v>#REF!</v>
      </c>
      <c r="Y115" s="28" t="e">
        <f>VLOOKUP(E115,#REF!, 10, FALSE)</f>
        <v>#REF!</v>
      </c>
      <c r="Z115" s="28" t="e">
        <f>VLOOKUP(E115,#REF!, 11, FALSE)</f>
        <v>#REF!</v>
      </c>
      <c r="AA115" s="28"/>
      <c r="AB115" s="35" t="e">
        <f>VLOOKUP(E115,#REF!, 12, FALSE)</f>
        <v>#REF!</v>
      </c>
      <c r="AC115" s="27">
        <v>1</v>
      </c>
      <c r="AD115" s="111" t="e">
        <f>VLOOKUP(E115,#REF!, 3, FALSE)</f>
        <v>#REF!</v>
      </c>
      <c r="AE115" s="18"/>
      <c r="AF115" s="27">
        <v>1</v>
      </c>
      <c r="AG115" s="27">
        <v>1</v>
      </c>
      <c r="AH115" s="27">
        <v>1</v>
      </c>
      <c r="AI115" s="27">
        <v>1</v>
      </c>
      <c r="AJ115" s="41" t="e">
        <v>#N/A</v>
      </c>
      <c r="AK115" s="41" t="e">
        <v>#N/A</v>
      </c>
      <c r="AL115" s="41" t="e">
        <v>#N/A</v>
      </c>
      <c r="AM115" s="27">
        <v>1</v>
      </c>
      <c r="AN115" s="27"/>
      <c r="AO115" s="27" t="e">
        <v>#N/A</v>
      </c>
      <c r="AP115" s="27">
        <v>1</v>
      </c>
      <c r="AQ115" s="27">
        <v>1</v>
      </c>
      <c r="AR115" s="27">
        <v>1</v>
      </c>
      <c r="AS115" s="27">
        <v>1</v>
      </c>
      <c r="AT115" s="27">
        <v>1</v>
      </c>
      <c r="AU115" s="27">
        <v>1</v>
      </c>
      <c r="AV115" s="27">
        <v>1</v>
      </c>
      <c r="AW115" s="27">
        <v>1</v>
      </c>
      <c r="AX115" s="27">
        <v>1</v>
      </c>
      <c r="AY115" s="27">
        <v>1</v>
      </c>
      <c r="AZ115" s="27">
        <v>1</v>
      </c>
      <c r="BA115" s="27">
        <v>1</v>
      </c>
      <c r="BB115" s="27">
        <v>1</v>
      </c>
      <c r="BC115" s="27">
        <v>1</v>
      </c>
      <c r="BD115" s="27">
        <v>1</v>
      </c>
      <c r="BE115" s="27">
        <v>1</v>
      </c>
      <c r="BF115" s="27">
        <v>1</v>
      </c>
      <c r="BG115" s="27">
        <v>1</v>
      </c>
      <c r="BH115" s="27">
        <v>1</v>
      </c>
      <c r="BI115" s="27">
        <v>1</v>
      </c>
      <c r="BJ115" s="27">
        <v>1</v>
      </c>
      <c r="BK115" s="27">
        <v>1</v>
      </c>
      <c r="BL115" s="27">
        <v>1</v>
      </c>
      <c r="BM115" s="27">
        <v>1</v>
      </c>
      <c r="BN115" s="27">
        <v>1</v>
      </c>
      <c r="BO115" s="27">
        <v>1</v>
      </c>
      <c r="BP115" s="27">
        <v>1</v>
      </c>
      <c r="BQ115" s="27">
        <v>1</v>
      </c>
      <c r="BR115" s="27">
        <v>1</v>
      </c>
      <c r="BS115" s="28"/>
      <c r="BT115" s="27" t="s">
        <v>173</v>
      </c>
      <c r="BU115" s="42" t="s">
        <v>1401</v>
      </c>
      <c r="BV115" s="28" t="e">
        <f t="shared" ca="1" si="2"/>
        <v>#NAME?</v>
      </c>
      <c r="BW115" s="28"/>
      <c r="BX115" s="26" t="e">
        <f t="shared" si="65"/>
        <v>#REF!</v>
      </c>
      <c r="BY115" s="28" t="e">
        <v>#N/A</v>
      </c>
      <c r="BZ115" s="27" t="e">
        <f>VLOOKUP(BX115,#REF!, 15, FALSE)</f>
        <v>#REF!</v>
      </c>
      <c r="CA115" s="27" t="e">
        <f>IF(ISERROR(VLOOKUP(BT115,#REF!, 11, FALSE)), VLOOKUP(CF115,#REF!, 7, FALSE), VLOOKUP(BT115, BR:CM, 11, FALSE))</f>
        <v>#REF!</v>
      </c>
      <c r="CB115" s="28"/>
      <c r="CC115" s="28"/>
      <c r="CD115" s="28"/>
      <c r="CE115" s="28"/>
      <c r="CF115" s="28"/>
      <c r="CG115" s="28"/>
    </row>
    <row r="116" spans="1:85" ht="15.75" customHeight="1" x14ac:dyDescent="0.2">
      <c r="A116" s="27" t="b">
        <v>1</v>
      </c>
      <c r="B116" s="139" t="s">
        <v>2533</v>
      </c>
      <c r="C116" s="50" t="s">
        <v>2533</v>
      </c>
      <c r="D116" s="27" t="s">
        <v>117</v>
      </c>
      <c r="E116" s="64" t="s">
        <v>2534</v>
      </c>
      <c r="F116" s="26" t="s">
        <v>2196</v>
      </c>
      <c r="G116" s="27" t="str">
        <f t="shared" si="56"/>
        <v>x</v>
      </c>
      <c r="H116" s="27" t="e">
        <f>IF(ISERROR(VLOOKUP(E116,#REF!, 6, FALSE)), VLOOKUP(Q116,#REF!, 22, FALSE), VLOOKUP(E116,#REF!, 6, FALSE))</f>
        <v>#REF!</v>
      </c>
      <c r="I116" s="28"/>
      <c r="J116" s="28"/>
      <c r="K116" s="36"/>
      <c r="L116" s="27" t="e">
        <f>VLOOKUP(C116,#REF!, 11, FALSE)</f>
        <v>#REF!</v>
      </c>
      <c r="M116" s="46" t="e">
        <f ca="1">IF(ISERROR(VLOOKUP(E116,#REF!, 4, FALSE)), IF(OR(ISERROR(VLOOKUP(Q116,#REF!, 25, FALSE)), ISBLANK(VLOOKUP(Q116,#REF!, 25, FALSE))), BV116, VLOOKUP(Q116,#REF!, 25, FALSE)), VLOOKUP(E116,#REF!, 4, FALSE))</f>
        <v>#NAME?</v>
      </c>
      <c r="N116" s="54" t="e">
        <f t="shared" ca="1" si="43"/>
        <v>#NAME?</v>
      </c>
      <c r="O116" s="28"/>
      <c r="P116" s="28"/>
      <c r="Q116" s="78" t="e">
        <f>VLOOKUP(E116,#REF!, 7, FALSE)</f>
        <v>#REF!</v>
      </c>
      <c r="R116" s="36" t="e">
        <f>VLOOKUP(E116,#REF!, 8, FALSE)</f>
        <v>#REF!</v>
      </c>
      <c r="S116" s="36" t="e">
        <f t="shared" si="73"/>
        <v>#REF!</v>
      </c>
      <c r="T116" s="36" t="e">
        <f t="shared" si="74"/>
        <v>#REF!</v>
      </c>
      <c r="U116" s="36" t="e">
        <f t="shared" si="75"/>
        <v>#REF!</v>
      </c>
      <c r="V116" s="36"/>
      <c r="W116" s="47" t="e">
        <f t="shared" si="72"/>
        <v>#REF!</v>
      </c>
      <c r="X116" s="35" t="e">
        <f>IF(ISERROR(VLOOKUP(E116,#REF!, 9, FALSE)), VLOOKUP(Q116,#REF!, 16, FALSE), VLOOKUP(E116,#REF!, 9, FALSE))</f>
        <v>#REF!</v>
      </c>
      <c r="Y116" s="28" t="e">
        <f>VLOOKUP(E116,#REF!, 10, FALSE)</f>
        <v>#REF!</v>
      </c>
      <c r="Z116" s="28" t="e">
        <f>VLOOKUP(E116,#REF!, 11, FALSE)</f>
        <v>#REF!</v>
      </c>
      <c r="AA116" s="28"/>
      <c r="AB116" s="35" t="e">
        <f>VLOOKUP(E116,#REF!, 12, FALSE)</f>
        <v>#REF!</v>
      </c>
      <c r="AC116" s="28"/>
      <c r="AD116" s="18"/>
      <c r="AE116" s="1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7" t="s">
        <v>173</v>
      </c>
      <c r="BU116" s="42" t="s">
        <v>1401</v>
      </c>
      <c r="BV116" s="28" t="e">
        <f t="shared" ca="1" si="2"/>
        <v>#NAME?</v>
      </c>
      <c r="BW116" s="28"/>
      <c r="BX116" s="26" t="e">
        <f t="shared" si="65"/>
        <v>#REF!</v>
      </c>
      <c r="BY116" s="28" t="e">
        <v>#N/A</v>
      </c>
      <c r="BZ116" s="27" t="e">
        <f>VLOOKUP(BX116,#REF!, 15, FALSE)</f>
        <v>#REF!</v>
      </c>
      <c r="CA116" s="27" t="e">
        <f>IF(ISERROR(VLOOKUP(BT116,#REF!, 11, FALSE)), VLOOKUP(CF116,#REF!, 7, FALSE), VLOOKUP(BT116, BR:CM, 11, FALSE))</f>
        <v>#REF!</v>
      </c>
      <c r="CB116" s="28"/>
      <c r="CC116" s="28"/>
      <c r="CD116" s="28"/>
      <c r="CE116" s="28"/>
      <c r="CF116" s="28"/>
      <c r="CG116" s="28"/>
    </row>
    <row r="117" spans="1:85" ht="15.75" customHeight="1" x14ac:dyDescent="0.2">
      <c r="A117" s="27" t="b">
        <v>1</v>
      </c>
      <c r="B117" s="139" t="s">
        <v>2535</v>
      </c>
      <c r="C117" s="50" t="s">
        <v>2535</v>
      </c>
      <c r="D117" s="26" t="s">
        <v>409</v>
      </c>
      <c r="E117" s="64" t="s">
        <v>2536</v>
      </c>
      <c r="F117" s="26" t="s">
        <v>2196</v>
      </c>
      <c r="G117" s="27" t="str">
        <f t="shared" si="56"/>
        <v>x</v>
      </c>
      <c r="H117" s="27" t="e">
        <f>IF(ISERROR(VLOOKUP(E117,#REF!, 6, FALSE)), VLOOKUP(Q117,#REF!, 22, FALSE), VLOOKUP(E117,#REF!, 6, FALSE))</f>
        <v>#REF!</v>
      </c>
      <c r="I117" s="28"/>
      <c r="J117" s="28"/>
      <c r="K117" s="36"/>
      <c r="L117" s="27" t="e">
        <f>VLOOKUP(C117,#REF!, 11, FALSE)</f>
        <v>#REF!</v>
      </c>
      <c r="M117" s="46" t="e">
        <f ca="1">IF(ISERROR(VLOOKUP(E117,#REF!, 4, FALSE)), IF(OR(ISERROR(VLOOKUP(Q117,#REF!, 25, FALSE)), ISBLANK(VLOOKUP(Q117,#REF!, 25, FALSE))), BV117, VLOOKUP(Q117,#REF!, 25, FALSE)), VLOOKUP(E117,#REF!, 4, FALSE))</f>
        <v>#NAME?</v>
      </c>
      <c r="N117" s="54" t="e">
        <f t="shared" ca="1" si="43"/>
        <v>#NAME?</v>
      </c>
      <c r="O117" s="28"/>
      <c r="P117" s="28"/>
      <c r="Q117" s="78" t="e">
        <f>VLOOKUP(E117,#REF!, 7, FALSE)</f>
        <v>#REF!</v>
      </c>
      <c r="R117" s="36" t="e">
        <f>VLOOKUP(E117,#REF!, 8, FALSE)</f>
        <v>#REF!</v>
      </c>
      <c r="S117" s="36" t="e">
        <f t="shared" si="73"/>
        <v>#REF!</v>
      </c>
      <c r="T117" s="36" t="e">
        <f t="shared" si="74"/>
        <v>#REF!</v>
      </c>
      <c r="U117" s="36" t="e">
        <f t="shared" si="75"/>
        <v>#REF!</v>
      </c>
      <c r="V117" s="36"/>
      <c r="W117" s="47" t="e">
        <f t="shared" si="72"/>
        <v>#REF!</v>
      </c>
      <c r="X117" s="35" t="e">
        <f>IF(ISERROR(VLOOKUP(E117,#REF!, 9, FALSE)), VLOOKUP(Q117,#REF!, 16, FALSE), VLOOKUP(E117,#REF!, 9, FALSE))</f>
        <v>#REF!</v>
      </c>
      <c r="Y117" s="28" t="e">
        <f>VLOOKUP(E117,#REF!, 10, FALSE)</f>
        <v>#REF!</v>
      </c>
      <c r="Z117" s="28" t="e">
        <f>VLOOKUP(E117,#REF!, 11, FALSE)</f>
        <v>#REF!</v>
      </c>
      <c r="AA117" s="28"/>
      <c r="AB117" s="35" t="e">
        <f>VLOOKUP(E117,#REF!, 12, FALSE)</f>
        <v>#REF!</v>
      </c>
      <c r="AC117" s="28"/>
      <c r="AD117" s="28"/>
      <c r="AE117" s="1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7" t="s">
        <v>173</v>
      </c>
      <c r="BU117" s="42" t="s">
        <v>1401</v>
      </c>
      <c r="BV117" s="28" t="e">
        <f t="shared" ca="1" si="2"/>
        <v>#NAME?</v>
      </c>
      <c r="BW117" s="28"/>
      <c r="BX117" s="26" t="e">
        <f t="shared" si="65"/>
        <v>#REF!</v>
      </c>
      <c r="BY117" s="28" t="e">
        <v>#N/A</v>
      </c>
      <c r="BZ117" s="27" t="e">
        <f>VLOOKUP(BX117,#REF!, 15, FALSE)</f>
        <v>#REF!</v>
      </c>
      <c r="CA117" s="27" t="e">
        <f>IF(ISERROR(VLOOKUP(BT117,#REF!, 11, FALSE)), VLOOKUP(CF117,#REF!, 7, FALSE), VLOOKUP(BT117, BR:CM, 11, FALSE))</f>
        <v>#REF!</v>
      </c>
      <c r="CB117" s="28"/>
      <c r="CC117" s="28"/>
      <c r="CD117" s="28"/>
      <c r="CE117" s="28"/>
      <c r="CF117" s="28"/>
      <c r="CG117" s="28"/>
    </row>
    <row r="118" spans="1:85" ht="15.75" customHeight="1" x14ac:dyDescent="0.2">
      <c r="A118" s="27" t="b">
        <v>1</v>
      </c>
      <c r="B118" s="139" t="s">
        <v>2537</v>
      </c>
      <c r="C118" s="50" t="s">
        <v>2537</v>
      </c>
      <c r="D118" s="27" t="s">
        <v>117</v>
      </c>
      <c r="E118" s="64" t="s">
        <v>2538</v>
      </c>
      <c r="F118" s="26" t="s">
        <v>2196</v>
      </c>
      <c r="G118" s="27" t="str">
        <f t="shared" si="56"/>
        <v>x</v>
      </c>
      <c r="H118" s="27" t="e">
        <f>IF(ISERROR(VLOOKUP(E118,#REF!, 6, FALSE)), VLOOKUP(Q118,#REF!, 22, FALSE), VLOOKUP(E118,#REF!, 6, FALSE))</f>
        <v>#REF!</v>
      </c>
      <c r="I118" s="28"/>
      <c r="J118" s="28"/>
      <c r="K118" s="36"/>
      <c r="L118" s="27" t="e">
        <f>VLOOKUP(C118,#REF!, 11, FALSE)</f>
        <v>#REF!</v>
      </c>
      <c r="M118" s="46" t="e">
        <f ca="1">IF(ISERROR(VLOOKUP(E118,#REF!, 4, FALSE)), IF(OR(ISERROR(VLOOKUP(Q118,#REF!, 25, FALSE)), ISBLANK(VLOOKUP(Q118,#REF!, 25, FALSE))), BV118, VLOOKUP(Q118,#REF!, 25, FALSE)), VLOOKUP(E118,#REF!, 4, FALSE))</f>
        <v>#NAME?</v>
      </c>
      <c r="N118" s="54" t="e">
        <f t="shared" ca="1" si="43"/>
        <v>#NAME?</v>
      </c>
      <c r="O118" s="28"/>
      <c r="P118" s="28"/>
      <c r="Q118" s="78" t="e">
        <f>VLOOKUP(E118,#REF!, 7, FALSE)</f>
        <v>#REF!</v>
      </c>
      <c r="R118" s="36" t="e">
        <f>VLOOKUP(E118,#REF!, 8, FALSE)</f>
        <v>#REF!</v>
      </c>
      <c r="S118" s="36" t="e">
        <f t="shared" si="73"/>
        <v>#REF!</v>
      </c>
      <c r="T118" s="36" t="e">
        <f t="shared" si="74"/>
        <v>#REF!</v>
      </c>
      <c r="U118" s="36" t="e">
        <f t="shared" si="75"/>
        <v>#REF!</v>
      </c>
      <c r="V118" s="36"/>
      <c r="W118" s="47" t="e">
        <f t="shared" si="72"/>
        <v>#REF!</v>
      </c>
      <c r="X118" s="35" t="e">
        <f>IF(ISERROR(VLOOKUP(E118,#REF!, 9, FALSE)), VLOOKUP(Q118,#REF!, 16, FALSE), VLOOKUP(E118,#REF!, 9, FALSE))</f>
        <v>#REF!</v>
      </c>
      <c r="Y118" s="28" t="e">
        <f>VLOOKUP(E118,#REF!, 10, FALSE)</f>
        <v>#REF!</v>
      </c>
      <c r="Z118" s="28" t="e">
        <f>VLOOKUP(E118,#REF!, 11, FALSE)</f>
        <v>#REF!</v>
      </c>
      <c r="AA118" s="28"/>
      <c r="AB118" s="35" t="e">
        <f>VLOOKUP(E118,#REF!, 12, FALSE)</f>
        <v>#REF!</v>
      </c>
      <c r="AC118" s="28"/>
      <c r="AD118" s="19"/>
      <c r="AE118" s="18"/>
      <c r="AF118" s="19"/>
      <c r="AG118" s="19"/>
      <c r="AH118" s="19"/>
      <c r="AI118" s="19"/>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7" t="s">
        <v>173</v>
      </c>
      <c r="BU118" s="42" t="s">
        <v>1401</v>
      </c>
      <c r="BV118" s="28" t="e">
        <f t="shared" ca="1" si="2"/>
        <v>#NAME?</v>
      </c>
      <c r="BW118" s="28"/>
      <c r="BX118" s="26" t="e">
        <f t="shared" si="65"/>
        <v>#REF!</v>
      </c>
      <c r="BY118" s="28" t="e">
        <v>#N/A</v>
      </c>
      <c r="BZ118" s="27" t="e">
        <f>VLOOKUP(BX118,#REF!, 15, FALSE)</f>
        <v>#REF!</v>
      </c>
      <c r="CA118" s="27" t="e">
        <f>IF(ISERROR(VLOOKUP(BT118,#REF!, 11, FALSE)), VLOOKUP(CF118,#REF!, 7, FALSE), VLOOKUP(BT118, BR:CM, 11, FALSE))</f>
        <v>#REF!</v>
      </c>
      <c r="CB118" s="28"/>
      <c r="CC118" s="28"/>
      <c r="CD118" s="28"/>
      <c r="CE118" s="28"/>
      <c r="CF118" s="28"/>
      <c r="CG118" s="28"/>
    </row>
    <row r="119" spans="1:85" ht="15.75" customHeight="1" x14ac:dyDescent="0.2">
      <c r="A119" s="27" t="b">
        <v>1</v>
      </c>
      <c r="B119" s="139" t="s">
        <v>2539</v>
      </c>
      <c r="C119" s="50" t="s">
        <v>2539</v>
      </c>
      <c r="D119" s="27" t="s">
        <v>117</v>
      </c>
      <c r="E119" s="64" t="s">
        <v>2540</v>
      </c>
      <c r="F119" s="26" t="s">
        <v>2196</v>
      </c>
      <c r="G119" s="27" t="str">
        <f t="shared" si="56"/>
        <v>x</v>
      </c>
      <c r="H119" s="27" t="e">
        <f>IF(ISERROR(VLOOKUP(E119,#REF!, 6, FALSE)), VLOOKUP(Q119,#REF!, 22, FALSE), VLOOKUP(E119,#REF!, 6, FALSE))</f>
        <v>#REF!</v>
      </c>
      <c r="I119" s="28"/>
      <c r="J119" s="28"/>
      <c r="K119" s="36"/>
      <c r="L119" s="27" t="e">
        <f>VLOOKUP(C119,#REF!, 11, FALSE)</f>
        <v>#REF!</v>
      </c>
      <c r="M119" s="46" t="e">
        <f ca="1">IF(ISERROR(VLOOKUP(E119,#REF!, 4, FALSE)), IF(OR(ISERROR(VLOOKUP(Q119,#REF!, 25, FALSE)), ISBLANK(VLOOKUP(Q119,#REF!, 25, FALSE))), BV119, VLOOKUP(Q119,#REF!, 25, FALSE)), VLOOKUP(E119,#REF!, 4, FALSE))</f>
        <v>#NAME?</v>
      </c>
      <c r="N119" s="54" t="e">
        <f t="shared" ca="1" si="43"/>
        <v>#NAME?</v>
      </c>
      <c r="O119" s="28"/>
      <c r="P119" s="28"/>
      <c r="Q119" s="78" t="e">
        <f>VLOOKUP(E119,#REF!, 7, FALSE)</f>
        <v>#REF!</v>
      </c>
      <c r="R119" s="36" t="e">
        <f>VLOOKUP(E119,#REF!, 8, FALSE)</f>
        <v>#REF!</v>
      </c>
      <c r="S119" s="36" t="e">
        <f t="shared" si="73"/>
        <v>#REF!</v>
      </c>
      <c r="T119" s="36" t="e">
        <f t="shared" si="74"/>
        <v>#REF!</v>
      </c>
      <c r="U119" s="36" t="e">
        <f t="shared" si="75"/>
        <v>#REF!</v>
      </c>
      <c r="V119" s="36"/>
      <c r="W119" s="47" t="e">
        <f t="shared" si="72"/>
        <v>#REF!</v>
      </c>
      <c r="X119" s="35" t="e">
        <f>IF(ISERROR(VLOOKUP(E119,#REF!, 9, FALSE)), VLOOKUP(Q119,#REF!, 16, FALSE), VLOOKUP(E119,#REF!, 9, FALSE))</f>
        <v>#REF!</v>
      </c>
      <c r="Y119" s="28" t="e">
        <f>VLOOKUP(E119,#REF!, 10, FALSE)</f>
        <v>#REF!</v>
      </c>
      <c r="Z119" s="28" t="e">
        <f>VLOOKUP(E119,#REF!, 11, FALSE)</f>
        <v>#REF!</v>
      </c>
      <c r="AA119" s="28"/>
      <c r="AB119" s="35" t="e">
        <f>VLOOKUP(E119,#REF!, 12, FALSE)</f>
        <v>#REF!</v>
      </c>
      <c r="AC119" s="18"/>
      <c r="AD119" s="28"/>
      <c r="AE119" s="1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7" t="s">
        <v>173</v>
      </c>
      <c r="BU119" s="42" t="s">
        <v>1401</v>
      </c>
      <c r="BV119" s="28" t="e">
        <f t="shared" ca="1" si="2"/>
        <v>#NAME?</v>
      </c>
      <c r="BW119" s="28"/>
      <c r="BX119" s="26" t="e">
        <f t="shared" si="65"/>
        <v>#REF!</v>
      </c>
      <c r="BY119" s="28" t="e">
        <v>#N/A</v>
      </c>
      <c r="BZ119" s="27" t="e">
        <f>VLOOKUP(BX119,#REF!, 15, FALSE)</f>
        <v>#REF!</v>
      </c>
      <c r="CA119" s="27" t="e">
        <f>IF(ISERROR(VLOOKUP(BT119,#REF!, 11, FALSE)), VLOOKUP(CF119,#REF!, 7, FALSE), VLOOKUP(BT119, BR:CM, 11, FALSE))</f>
        <v>#REF!</v>
      </c>
      <c r="CB119" s="28"/>
      <c r="CC119" s="28"/>
      <c r="CD119" s="28"/>
      <c r="CE119" s="28"/>
      <c r="CF119" s="28"/>
      <c r="CG119" s="28"/>
    </row>
    <row r="120" spans="1:85" ht="15.75" customHeight="1" x14ac:dyDescent="0.2">
      <c r="A120" s="27" t="b">
        <v>1</v>
      </c>
      <c r="B120" s="139" t="s">
        <v>2541</v>
      </c>
      <c r="C120" s="50" t="s">
        <v>2541</v>
      </c>
      <c r="D120" s="27" t="s">
        <v>117</v>
      </c>
      <c r="E120" s="143" t="s">
        <v>2542</v>
      </c>
      <c r="F120" s="26" t="s">
        <v>2196</v>
      </c>
      <c r="G120" s="27" t="str">
        <f t="shared" si="56"/>
        <v>x</v>
      </c>
      <c r="H120" s="27" t="e">
        <f>IF(ISERROR(VLOOKUP(E120,#REF!, 6, FALSE)), VLOOKUP(Q120,#REF!, 22, FALSE), VLOOKUP(E120,#REF!, 6, FALSE))</f>
        <v>#REF!</v>
      </c>
      <c r="I120" s="28"/>
      <c r="J120" s="28"/>
      <c r="K120" s="36"/>
      <c r="L120" s="27" t="e">
        <f>VLOOKUP(C120,#REF!, 11, FALSE)</f>
        <v>#REF!</v>
      </c>
      <c r="M120" s="46" t="e">
        <f ca="1">IF(ISERROR(VLOOKUP(E120,#REF!, 4, FALSE)), IF(OR(ISERROR(VLOOKUP(Q120,#REF!, 25, FALSE)), ISBLANK(VLOOKUP(Q120,#REF!, 25, FALSE))), BV120, VLOOKUP(Q120,#REF!, 25, FALSE)), VLOOKUP(E120,#REF!, 4, FALSE))</f>
        <v>#NAME?</v>
      </c>
      <c r="N120" s="54" t="e">
        <f t="shared" ca="1" si="43"/>
        <v>#NAME?</v>
      </c>
      <c r="O120" s="28"/>
      <c r="P120" s="28"/>
      <c r="Q120" s="78" t="e">
        <f>VLOOKUP(E120,#REF!, 7, FALSE)</f>
        <v>#REF!</v>
      </c>
      <c r="R120" s="36" t="e">
        <f>VLOOKUP(E120,#REF!, 8, FALSE)</f>
        <v>#REF!</v>
      </c>
      <c r="S120" s="36" t="e">
        <f t="shared" si="73"/>
        <v>#REF!</v>
      </c>
      <c r="T120" s="36" t="e">
        <f t="shared" si="74"/>
        <v>#REF!</v>
      </c>
      <c r="U120" s="36" t="e">
        <f t="shared" si="75"/>
        <v>#REF!</v>
      </c>
      <c r="V120" s="36"/>
      <c r="W120" s="47" t="e">
        <f t="shared" si="72"/>
        <v>#REF!</v>
      </c>
      <c r="X120" s="35" t="e">
        <f>IF(ISERROR(VLOOKUP(E120,#REF!, 9, FALSE)), VLOOKUP(Q120,#REF!, 16, FALSE), VLOOKUP(E120,#REF!, 9, FALSE))</f>
        <v>#REF!</v>
      </c>
      <c r="Y120" s="28" t="e">
        <f>VLOOKUP(E120,#REF!, 10, FALSE)</f>
        <v>#REF!</v>
      </c>
      <c r="Z120" s="28" t="e">
        <f>VLOOKUP(E120,#REF!, 11, FALSE)</f>
        <v>#REF!</v>
      </c>
      <c r="AA120" s="28"/>
      <c r="AB120" s="35" t="e">
        <f>VLOOKUP(E120,#REF!, 12, FALSE)</f>
        <v>#REF!</v>
      </c>
      <c r="AC120" s="28"/>
      <c r="AD120" s="28"/>
      <c r="AE120" s="1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7" t="s">
        <v>173</v>
      </c>
      <c r="BU120" s="42" t="s">
        <v>1401</v>
      </c>
      <c r="BV120" s="28" t="e">
        <f t="shared" ca="1" si="2"/>
        <v>#NAME?</v>
      </c>
      <c r="BW120" s="28"/>
      <c r="BX120" s="26" t="e">
        <f t="shared" si="65"/>
        <v>#REF!</v>
      </c>
      <c r="BY120" s="28" t="e">
        <v>#N/A</v>
      </c>
      <c r="BZ120" s="27" t="e">
        <f>VLOOKUP(BX120,#REF!, 15, FALSE)</f>
        <v>#REF!</v>
      </c>
      <c r="CA120" s="27" t="e">
        <f>IF(ISERROR(VLOOKUP(BT120,#REF!, 11, FALSE)), VLOOKUP(CF120,#REF!, 7, FALSE), VLOOKUP(BT120, BR:CM, 11, FALSE))</f>
        <v>#REF!</v>
      </c>
      <c r="CB120" s="28"/>
      <c r="CC120" s="28"/>
      <c r="CD120" s="28"/>
      <c r="CE120" s="28"/>
      <c r="CF120" s="28"/>
      <c r="CG120" s="28"/>
    </row>
    <row r="121" spans="1:85" ht="15.75" customHeight="1" x14ac:dyDescent="0.2">
      <c r="A121" s="27" t="b">
        <v>1</v>
      </c>
      <c r="B121" s="139" t="s">
        <v>2543</v>
      </c>
      <c r="C121" s="50" t="s">
        <v>2543</v>
      </c>
      <c r="D121" s="26" t="s">
        <v>409</v>
      </c>
      <c r="E121" s="64" t="s">
        <v>2544</v>
      </c>
      <c r="F121" s="26" t="s">
        <v>2196</v>
      </c>
      <c r="G121" s="27" t="str">
        <f t="shared" si="56"/>
        <v>x</v>
      </c>
      <c r="H121" s="27" t="e">
        <f>IF(ISERROR(VLOOKUP(E121,#REF!, 6, FALSE)), VLOOKUP(Q121,#REF!, 22, FALSE), VLOOKUP(E121,#REF!, 6, FALSE))</f>
        <v>#REF!</v>
      </c>
      <c r="I121" s="26">
        <v>1</v>
      </c>
      <c r="J121" s="26">
        <v>1</v>
      </c>
      <c r="K121" s="26">
        <v>1</v>
      </c>
      <c r="L121" s="27" t="e">
        <f>VLOOKUP(C121,#REF!, 11, FALSE)</f>
        <v>#REF!</v>
      </c>
      <c r="M121" s="46" t="e">
        <f ca="1">p_LayTTDN_Full(K121, "dc")</f>
        <v>#NAME?</v>
      </c>
      <c r="N121" s="54" t="e">
        <f t="shared" ca="1" si="43"/>
        <v>#NAME?</v>
      </c>
      <c r="O121" s="26">
        <v>1</v>
      </c>
      <c r="P121" s="26">
        <v>1</v>
      </c>
      <c r="Q121" s="78" t="e">
        <f>VLOOKUP(E121,#REF!, 7, FALSE)</f>
        <v>#REF!</v>
      </c>
      <c r="R121" s="36" t="e">
        <f>VLOOKUP(E121,#REF!, 8, FALSE)</f>
        <v>#REF!</v>
      </c>
      <c r="S121" s="36" t="e">
        <f t="shared" si="73"/>
        <v>#REF!</v>
      </c>
      <c r="T121" s="36" t="e">
        <f t="shared" si="74"/>
        <v>#REF!</v>
      </c>
      <c r="U121" s="36" t="e">
        <f t="shared" si="75"/>
        <v>#REF!</v>
      </c>
      <c r="V121" s="26">
        <v>1</v>
      </c>
      <c r="W121" s="47" t="e">
        <f t="shared" si="72"/>
        <v>#REF!</v>
      </c>
      <c r="X121" s="35" t="e">
        <f>IF(ISERROR(VLOOKUP(E121,#REF!, 9, FALSE)), VLOOKUP(Q121,#REF!, 16, FALSE), VLOOKUP(E121,#REF!, 9, FALSE))</f>
        <v>#REF!</v>
      </c>
      <c r="Y121" s="28" t="e">
        <f>VLOOKUP(E121,#REF!, 10, FALSE)</f>
        <v>#REF!</v>
      </c>
      <c r="Z121" s="28" t="e">
        <f>VLOOKUP(E121,#REF!, 11, FALSE)</f>
        <v>#REF!</v>
      </c>
      <c r="AA121" s="28"/>
      <c r="AB121" s="35" t="e">
        <f>VLOOKUP(E121,#REF!, 12, FALSE)</f>
        <v>#REF!</v>
      </c>
      <c r="AC121" s="26">
        <v>1</v>
      </c>
      <c r="AD121" s="26">
        <v>1</v>
      </c>
      <c r="AE121" s="18"/>
      <c r="AF121" s="26">
        <v>1</v>
      </c>
      <c r="AG121" s="26">
        <v>1</v>
      </c>
      <c r="AH121" s="26">
        <v>1</v>
      </c>
      <c r="AI121" s="26">
        <v>1</v>
      </c>
      <c r="AJ121" s="26">
        <v>1</v>
      </c>
      <c r="AK121" s="26">
        <v>1</v>
      </c>
      <c r="AL121" s="26">
        <v>1</v>
      </c>
      <c r="AM121" s="26">
        <v>1</v>
      </c>
      <c r="AN121" s="26">
        <v>1</v>
      </c>
      <c r="AO121" s="26">
        <v>1</v>
      </c>
      <c r="AP121" s="26">
        <v>1</v>
      </c>
      <c r="AQ121" s="26">
        <v>1</v>
      </c>
      <c r="AR121" s="26">
        <v>1</v>
      </c>
      <c r="AS121" s="26">
        <v>1</v>
      </c>
      <c r="AT121" s="26">
        <v>1</v>
      </c>
      <c r="AU121" s="26">
        <v>1</v>
      </c>
      <c r="AV121" s="26">
        <v>1</v>
      </c>
      <c r="AW121" s="26">
        <v>1</v>
      </c>
      <c r="AX121" s="26">
        <v>1</v>
      </c>
      <c r="AY121" s="26">
        <v>1</v>
      </c>
      <c r="AZ121" s="26">
        <v>1</v>
      </c>
      <c r="BA121" s="26">
        <v>1</v>
      </c>
      <c r="BB121" s="26">
        <v>1</v>
      </c>
      <c r="BC121" s="26">
        <v>1</v>
      </c>
      <c r="BD121" s="26">
        <v>1</v>
      </c>
      <c r="BE121" s="26">
        <v>1</v>
      </c>
      <c r="BF121" s="26">
        <v>1</v>
      </c>
      <c r="BG121" s="26">
        <v>1</v>
      </c>
      <c r="BH121" s="26">
        <v>1</v>
      </c>
      <c r="BI121" s="26">
        <v>1</v>
      </c>
      <c r="BJ121" s="26">
        <v>1</v>
      </c>
      <c r="BK121" s="26">
        <v>1</v>
      </c>
      <c r="BL121" s="26">
        <v>1</v>
      </c>
      <c r="BM121" s="26">
        <v>1</v>
      </c>
      <c r="BN121" s="26">
        <v>1</v>
      </c>
      <c r="BO121" s="26">
        <v>1</v>
      </c>
      <c r="BP121" s="26">
        <v>1</v>
      </c>
      <c r="BQ121" s="26">
        <v>1</v>
      </c>
      <c r="BR121" s="26">
        <v>1</v>
      </c>
      <c r="BS121" s="26">
        <v>1</v>
      </c>
      <c r="BT121" s="27" t="s">
        <v>173</v>
      </c>
      <c r="BU121" s="42" t="s">
        <v>1401</v>
      </c>
      <c r="BV121" s="28" t="e">
        <f t="shared" ca="1" si="2"/>
        <v>#NAME?</v>
      </c>
      <c r="BW121" s="28"/>
      <c r="BX121" s="26" t="e">
        <f t="shared" si="65"/>
        <v>#REF!</v>
      </c>
      <c r="BY121" s="28" t="e">
        <v>#N/A</v>
      </c>
      <c r="BZ121" s="27" t="e">
        <f>VLOOKUP(BX121,#REF!, 15, FALSE)</f>
        <v>#REF!</v>
      </c>
      <c r="CA121" s="27" t="e">
        <f>IF(ISERROR(VLOOKUP(BT121,#REF!, 11, FALSE)), VLOOKUP(CF121,#REF!, 7, FALSE), VLOOKUP(BT121, BR:CM, 11, FALSE))</f>
        <v>#REF!</v>
      </c>
      <c r="CB121" s="28"/>
      <c r="CC121" s="28"/>
      <c r="CD121" s="28"/>
      <c r="CE121" s="28"/>
      <c r="CF121" s="28"/>
      <c r="CG121" s="28"/>
    </row>
    <row r="122" spans="1:85" ht="15.75" customHeight="1" x14ac:dyDescent="0.2">
      <c r="A122" s="27" t="b">
        <v>1</v>
      </c>
      <c r="B122" s="144" t="s">
        <v>2545</v>
      </c>
      <c r="C122" s="145" t="s">
        <v>538</v>
      </c>
      <c r="D122" s="26" t="s">
        <v>409</v>
      </c>
      <c r="E122" s="40" t="s">
        <v>2546</v>
      </c>
      <c r="F122" s="26" t="s">
        <v>2547</v>
      </c>
      <c r="G122" s="27" t="str">
        <f t="shared" si="56"/>
        <v>Gemini_Generated_Image_af2hdqaf2hdqaf2h_W1024.webp</v>
      </c>
      <c r="H122" s="26" t="s">
        <v>2548</v>
      </c>
      <c r="I122" s="40" t="s">
        <v>2549</v>
      </c>
      <c r="J122" s="42" t="s">
        <v>2550</v>
      </c>
      <c r="K122" s="137"/>
      <c r="L122" s="26" t="s">
        <v>2551</v>
      </c>
      <c r="M122" s="53" t="s">
        <v>2552</v>
      </c>
      <c r="N122" s="57" t="s">
        <v>546</v>
      </c>
      <c r="O122" s="28"/>
      <c r="P122" s="28"/>
      <c r="Q122" s="78" t="s">
        <v>2553</v>
      </c>
      <c r="R122" s="78" t="s">
        <v>2554</v>
      </c>
      <c r="S122" s="78" t="s">
        <v>549</v>
      </c>
      <c r="T122" s="36" t="s">
        <v>550</v>
      </c>
      <c r="U122" s="36" t="s">
        <v>550</v>
      </c>
      <c r="V122" s="36"/>
      <c r="W122" s="47"/>
      <c r="X122" s="38" t="s">
        <v>2555</v>
      </c>
      <c r="Y122" s="28"/>
      <c r="Z122" s="28"/>
      <c r="AA122" s="35" t="s">
        <v>132</v>
      </c>
      <c r="AB122" s="35"/>
      <c r="AC122" s="19" t="s">
        <v>2556</v>
      </c>
      <c r="AD122" s="19" t="s">
        <v>2557</v>
      </c>
      <c r="AE122" s="19" t="s">
        <v>1768</v>
      </c>
      <c r="AF122" s="19" t="s">
        <v>2558</v>
      </c>
      <c r="AG122" s="19" t="s">
        <v>1771</v>
      </c>
      <c r="AH122" s="19" t="s">
        <v>2559</v>
      </c>
      <c r="AI122" s="19" t="s">
        <v>2560</v>
      </c>
      <c r="AJ122" s="19" t="s">
        <v>2561</v>
      </c>
      <c r="AK122" s="41"/>
      <c r="AL122" s="41"/>
      <c r="AM122" s="19" t="s">
        <v>2562</v>
      </c>
      <c r="AN122" s="27"/>
      <c r="AO122" s="26" t="s">
        <v>2563</v>
      </c>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36"/>
      <c r="BT122" s="27" t="s">
        <v>173</v>
      </c>
      <c r="BU122" s="42" t="s">
        <v>151</v>
      </c>
      <c r="BV122" s="28" t="e">
        <f t="shared" ca="1" si="2"/>
        <v>#NAME?</v>
      </c>
      <c r="BW122" s="28"/>
      <c r="BX122" s="26" t="str">
        <f t="shared" si="65"/>
        <v>images (1).png</v>
      </c>
      <c r="BY122" s="28" t="s">
        <v>2564</v>
      </c>
      <c r="BZ122" s="26" t="s">
        <v>2547</v>
      </c>
      <c r="CA122" s="26" t="s">
        <v>2551</v>
      </c>
      <c r="CB122" s="28"/>
      <c r="CC122" s="28"/>
      <c r="CD122" s="28"/>
      <c r="CE122" s="28"/>
      <c r="CF122" s="28"/>
      <c r="CG122" s="28"/>
    </row>
    <row r="123" spans="1:85" ht="15.75" customHeight="1" x14ac:dyDescent="0.2">
      <c r="A123" s="27" t="b">
        <v>1</v>
      </c>
      <c r="B123" s="32" t="s">
        <v>2565</v>
      </c>
      <c r="C123" s="145" t="s">
        <v>2263</v>
      </c>
      <c r="D123" s="27" t="s">
        <v>117</v>
      </c>
      <c r="E123" s="19" t="s">
        <v>2566</v>
      </c>
      <c r="F123" s="27" t="s">
        <v>2567</v>
      </c>
      <c r="G123" s="27" t="str">
        <f t="shared" si="56"/>
        <v>6a2e8929e4896ad73398_w256.webp</v>
      </c>
      <c r="H123" s="26" t="s">
        <v>833</v>
      </c>
      <c r="I123" s="40" t="s">
        <v>2267</v>
      </c>
      <c r="J123" s="42" t="s">
        <v>2268</v>
      </c>
      <c r="K123" s="84" t="s">
        <v>2269</v>
      </c>
      <c r="L123" s="26" t="s">
        <v>2270</v>
      </c>
      <c r="M123" s="53" t="s">
        <v>2271</v>
      </c>
      <c r="N123" s="54" t="e">
        <f ca="1">p_GMapLink(M123)</f>
        <v>#NAME?</v>
      </c>
      <c r="O123" s="19" t="s">
        <v>2568</v>
      </c>
      <c r="P123" s="54" t="e">
        <f ca="1">p_GMapLink(O123)</f>
        <v>#NAME?</v>
      </c>
      <c r="Q123" s="84" t="s">
        <v>2569</v>
      </c>
      <c r="R123" s="84" t="s">
        <v>2570</v>
      </c>
      <c r="S123" s="36" t="str">
        <f>Q123</f>
        <v>0792500517</v>
      </c>
      <c r="T123" s="36" t="str">
        <f>"84"&amp;IF(LEN(Q123)=10, RIGHT(Q123,9), Q123)</f>
        <v>84792500517</v>
      </c>
      <c r="U123" s="36" t="str">
        <f>"84"&amp;IF(LEN(Q123)=10, RIGHT(Q123,9), Q123)</f>
        <v>84792500517</v>
      </c>
      <c r="V123" s="84" t="s">
        <v>2571</v>
      </c>
      <c r="W123" s="37" t="str">
        <f>Y123</f>
        <v>https://fb.com/nguyentiendatmt</v>
      </c>
      <c r="X123" s="119"/>
      <c r="Y123" s="118" t="s">
        <v>2572</v>
      </c>
      <c r="Z123" s="28"/>
      <c r="AA123" s="115"/>
      <c r="AB123" s="35"/>
      <c r="AC123" s="42" t="s">
        <v>2276</v>
      </c>
      <c r="AD123" s="77" t="s">
        <v>2277</v>
      </c>
      <c r="AE123" s="19" t="s">
        <v>2278</v>
      </c>
      <c r="AF123" s="26" t="s">
        <v>2279</v>
      </c>
      <c r="AG123" s="53" t="s">
        <v>2280</v>
      </c>
      <c r="AH123" s="26" t="s">
        <v>2281</v>
      </c>
      <c r="AI123" s="28"/>
      <c r="AJ123" s="18"/>
      <c r="AK123" s="41"/>
      <c r="AL123" s="41"/>
      <c r="AM123" s="28"/>
      <c r="AN123" s="27"/>
      <c r="AO123" s="27" t="e">
        <v>#N/A</v>
      </c>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7" t="s">
        <v>173</v>
      </c>
      <c r="BU123" s="42" t="s">
        <v>151</v>
      </c>
      <c r="BV123" s="28" t="e">
        <f t="shared" ca="1" si="2"/>
        <v>#NAME?</v>
      </c>
      <c r="BW123" s="28"/>
      <c r="BX123" s="26" t="str">
        <f t="shared" si="65"/>
        <v>5f52766a-0e36-40a8-8869-b5695e21ed13.jpg</v>
      </c>
      <c r="BY123" s="28" t="s">
        <v>2282</v>
      </c>
      <c r="BZ123" s="26" t="s">
        <v>2573</v>
      </c>
      <c r="CA123" s="26" t="s">
        <v>2270</v>
      </c>
      <c r="CB123" s="28"/>
      <c r="CC123" s="28"/>
      <c r="CD123" s="28"/>
      <c r="CE123" s="28"/>
      <c r="CF123" s="28"/>
      <c r="CG123" s="28"/>
    </row>
    <row r="124" spans="1:85" ht="12.75" x14ac:dyDescent="0.2">
      <c r="A124" s="28"/>
      <c r="B124" s="28"/>
      <c r="C124" s="28"/>
      <c r="D124" s="28"/>
      <c r="E124" s="28"/>
      <c r="F124" s="28"/>
      <c r="G124" s="28"/>
      <c r="H124" s="28"/>
      <c r="I124" s="28"/>
      <c r="J124" s="28"/>
      <c r="K124" s="36"/>
      <c r="L124" s="28"/>
      <c r="M124" s="28"/>
      <c r="N124" s="28"/>
      <c r="O124" s="28"/>
      <c r="P124" s="28"/>
      <c r="Q124" s="36"/>
      <c r="R124" s="36"/>
      <c r="S124" s="36"/>
      <c r="T124" s="36"/>
      <c r="U124" s="36"/>
      <c r="V124" s="36"/>
      <c r="W124" s="36"/>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row>
    <row r="125" spans="1:85" ht="12.75" x14ac:dyDescent="0.2">
      <c r="A125" s="28"/>
      <c r="B125" s="28"/>
      <c r="C125" s="28"/>
      <c r="D125" s="28"/>
      <c r="E125" s="28"/>
      <c r="F125" s="28"/>
      <c r="G125" s="28"/>
      <c r="H125" s="28"/>
      <c r="I125" s="28"/>
      <c r="J125" s="28"/>
      <c r="K125" s="36"/>
      <c r="L125" s="28"/>
      <c r="M125" s="28"/>
      <c r="N125" s="28"/>
      <c r="O125" s="28"/>
      <c r="P125" s="28"/>
      <c r="Q125" s="36"/>
      <c r="R125" s="36"/>
      <c r="S125" s="36"/>
      <c r="T125" s="36"/>
      <c r="U125" s="36"/>
      <c r="V125" s="36"/>
      <c r="W125" s="36"/>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row>
    <row r="126" spans="1:85" ht="12.75" x14ac:dyDescent="0.2">
      <c r="A126" s="28"/>
      <c r="B126" s="28"/>
      <c r="C126" s="28"/>
      <c r="D126" s="28"/>
      <c r="E126" s="28"/>
      <c r="F126" s="28"/>
      <c r="G126" s="28"/>
      <c r="H126" s="28"/>
      <c r="I126" s="28"/>
      <c r="J126" s="28"/>
      <c r="K126" s="36"/>
      <c r="L126" s="28"/>
      <c r="M126" s="28"/>
      <c r="N126" s="28"/>
      <c r="O126" s="28"/>
      <c r="P126" s="28"/>
      <c r="Q126" s="36"/>
      <c r="R126" s="36"/>
      <c r="S126" s="36"/>
      <c r="T126" s="36"/>
      <c r="U126" s="36"/>
      <c r="V126" s="36"/>
      <c r="W126" s="36"/>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row>
    <row r="127" spans="1:85" ht="12.75" x14ac:dyDescent="0.2">
      <c r="A127" s="28"/>
      <c r="B127" s="26"/>
      <c r="C127" s="28"/>
      <c r="D127" s="28"/>
      <c r="E127" s="28"/>
      <c r="F127" s="28"/>
      <c r="G127" s="28"/>
      <c r="H127" s="28"/>
      <c r="I127" s="28"/>
      <c r="J127" s="28"/>
      <c r="K127" s="36"/>
      <c r="L127" s="28"/>
      <c r="M127" s="28"/>
      <c r="N127" s="28"/>
      <c r="O127" s="28"/>
      <c r="P127" s="28"/>
      <c r="Q127" s="36"/>
      <c r="R127" s="36"/>
      <c r="S127" s="36"/>
      <c r="T127" s="36"/>
      <c r="U127" s="36"/>
      <c r="V127" s="36"/>
      <c r="W127" s="36"/>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c r="CC127" s="28"/>
      <c r="CD127" s="28"/>
      <c r="CE127" s="28"/>
      <c r="CF127" s="28"/>
      <c r="CG127" s="28"/>
    </row>
    <row r="128" spans="1:85" ht="12.75" x14ac:dyDescent="0.2">
      <c r="A128" s="28"/>
      <c r="B128" s="28"/>
      <c r="C128" s="28"/>
      <c r="D128" s="28"/>
      <c r="E128" s="28"/>
      <c r="F128" s="28"/>
      <c r="G128" s="28"/>
      <c r="H128" s="28"/>
      <c r="I128" s="28"/>
      <c r="J128" s="28"/>
      <c r="K128" s="36"/>
      <c r="L128" s="28"/>
      <c r="M128" s="28"/>
      <c r="N128" s="28"/>
      <c r="O128" s="28"/>
      <c r="P128" s="28"/>
      <c r="Q128" s="36"/>
      <c r="R128" s="36"/>
      <c r="S128" s="36"/>
      <c r="T128" s="36"/>
      <c r="U128" s="36"/>
      <c r="V128" s="36"/>
      <c r="W128" s="36"/>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row>
    <row r="129" spans="1:85" ht="12.75" x14ac:dyDescent="0.2">
      <c r="A129" s="28"/>
      <c r="B129" s="28"/>
      <c r="C129" s="28"/>
      <c r="D129" s="28"/>
      <c r="E129" s="28"/>
      <c r="F129" s="28"/>
      <c r="G129" s="28"/>
      <c r="H129" s="28"/>
      <c r="I129" s="28"/>
      <c r="J129" s="28"/>
      <c r="K129" s="36"/>
      <c r="L129" s="28"/>
      <c r="M129" s="28"/>
      <c r="N129" s="28"/>
      <c r="O129" s="28"/>
      <c r="P129" s="28"/>
      <c r="Q129" s="36"/>
      <c r="R129" s="36"/>
      <c r="S129" s="36"/>
      <c r="T129" s="36"/>
      <c r="U129" s="36"/>
      <c r="V129" s="36"/>
      <c r="W129" s="36"/>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row>
    <row r="130" spans="1:85" ht="12.75" x14ac:dyDescent="0.2">
      <c r="A130" s="28"/>
      <c r="B130" s="28"/>
      <c r="C130" s="28"/>
      <c r="D130" s="28"/>
      <c r="E130" s="28"/>
      <c r="F130" s="28"/>
      <c r="G130" s="28"/>
      <c r="H130" s="28"/>
      <c r="I130" s="28"/>
      <c r="J130" s="28"/>
      <c r="K130" s="36"/>
      <c r="L130" s="28"/>
      <c r="M130" s="28"/>
      <c r="N130" s="28"/>
      <c r="O130" s="28"/>
      <c r="P130" s="28"/>
      <c r="Q130" s="36"/>
      <c r="R130" s="36"/>
      <c r="S130" s="36"/>
      <c r="T130" s="36"/>
      <c r="U130" s="36"/>
      <c r="V130" s="36"/>
      <c r="W130" s="36"/>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row>
    <row r="131" spans="1:85" ht="12.75" x14ac:dyDescent="0.2">
      <c r="A131" s="28"/>
      <c r="B131" s="28"/>
      <c r="C131" s="28"/>
      <c r="D131" s="28"/>
      <c r="E131" s="28"/>
      <c r="F131" s="28"/>
      <c r="G131" s="28"/>
      <c r="H131" s="28"/>
      <c r="I131" s="28"/>
      <c r="J131" s="28"/>
      <c r="K131" s="36"/>
      <c r="L131" s="28"/>
      <c r="M131" s="28"/>
      <c r="N131" s="28"/>
      <c r="O131" s="28"/>
      <c r="P131" s="28"/>
      <c r="Q131" s="36"/>
      <c r="R131" s="36"/>
      <c r="S131" s="36"/>
      <c r="T131" s="36"/>
      <c r="U131" s="36"/>
      <c r="V131" s="36"/>
      <c r="W131" s="36"/>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row>
    <row r="132" spans="1:85" ht="12.75" x14ac:dyDescent="0.2">
      <c r="A132" s="28"/>
      <c r="B132" s="28"/>
      <c r="C132" s="28"/>
      <c r="D132" s="28"/>
      <c r="E132" s="28"/>
      <c r="F132" s="28"/>
      <c r="G132" s="28"/>
      <c r="H132" s="28"/>
      <c r="I132" s="28"/>
      <c r="J132" s="28"/>
      <c r="K132" s="36"/>
      <c r="L132" s="28"/>
      <c r="M132" s="28"/>
      <c r="N132" s="28"/>
      <c r="O132" s="28"/>
      <c r="P132" s="28"/>
      <c r="Q132" s="36"/>
      <c r="R132" s="36"/>
      <c r="S132" s="36"/>
      <c r="T132" s="36"/>
      <c r="U132" s="36"/>
      <c r="V132" s="36"/>
      <c r="W132" s="36"/>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row>
    <row r="133" spans="1:85" ht="12.75" x14ac:dyDescent="0.2">
      <c r="A133" s="28"/>
      <c r="B133" s="28"/>
      <c r="C133" s="28"/>
      <c r="D133" s="28"/>
      <c r="E133" s="28"/>
      <c r="F133" s="28"/>
      <c r="G133" s="28"/>
      <c r="H133" s="28"/>
      <c r="I133" s="28"/>
      <c r="J133" s="28"/>
      <c r="K133" s="36"/>
      <c r="L133" s="28"/>
      <c r="M133" s="28"/>
      <c r="N133" s="28"/>
      <c r="O133" s="28"/>
      <c r="P133" s="28"/>
      <c r="Q133" s="36"/>
      <c r="R133" s="36"/>
      <c r="S133" s="36"/>
      <c r="T133" s="36"/>
      <c r="U133" s="36"/>
      <c r="V133" s="36"/>
      <c r="W133" s="36"/>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row>
    <row r="134" spans="1:85" ht="12.75" x14ac:dyDescent="0.2">
      <c r="A134" s="28"/>
      <c r="B134" s="28"/>
      <c r="C134" s="28"/>
      <c r="D134" s="28"/>
      <c r="E134" s="28"/>
      <c r="F134" s="28"/>
      <c r="G134" s="28"/>
      <c r="H134" s="28"/>
      <c r="I134" s="28"/>
      <c r="J134" s="28"/>
      <c r="K134" s="36"/>
      <c r="L134" s="28"/>
      <c r="M134" s="28"/>
      <c r="N134" s="28"/>
      <c r="O134" s="28"/>
      <c r="P134" s="28"/>
      <c r="Q134" s="36"/>
      <c r="R134" s="36"/>
      <c r="S134" s="36"/>
      <c r="T134" s="36"/>
      <c r="U134" s="36"/>
      <c r="V134" s="36"/>
      <c r="W134" s="36"/>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row>
    <row r="135" spans="1:85" ht="12.75" x14ac:dyDescent="0.2">
      <c r="A135" s="28"/>
      <c r="B135" s="28"/>
      <c r="C135" s="28"/>
      <c r="D135" s="28"/>
      <c r="E135" s="28"/>
      <c r="F135" s="28"/>
      <c r="G135" s="28"/>
      <c r="H135" s="28"/>
      <c r="I135" s="28"/>
      <c r="J135" s="28"/>
      <c r="K135" s="36"/>
      <c r="L135" s="28"/>
      <c r="M135" s="28"/>
      <c r="N135" s="28"/>
      <c r="O135" s="28"/>
      <c r="P135" s="28"/>
      <c r="Q135" s="36"/>
      <c r="R135" s="36"/>
      <c r="S135" s="36"/>
      <c r="T135" s="36"/>
      <c r="U135" s="36"/>
      <c r="V135" s="36"/>
      <c r="W135" s="36"/>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row>
    <row r="136" spans="1:85" ht="12.75" x14ac:dyDescent="0.2">
      <c r="A136" s="28"/>
      <c r="B136" s="28"/>
      <c r="C136" s="28"/>
      <c r="D136" s="28"/>
      <c r="E136" s="28"/>
      <c r="F136" s="28"/>
      <c r="G136" s="28"/>
      <c r="H136" s="28"/>
      <c r="I136" s="28"/>
      <c r="J136" s="28"/>
      <c r="K136" s="36"/>
      <c r="L136" s="28"/>
      <c r="M136" s="28"/>
      <c r="N136" s="28"/>
      <c r="O136" s="28"/>
      <c r="P136" s="28"/>
      <c r="Q136" s="36"/>
      <c r="R136" s="36"/>
      <c r="S136" s="36"/>
      <c r="T136" s="36"/>
      <c r="U136" s="36"/>
      <c r="V136" s="36"/>
      <c r="W136" s="36"/>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row>
    <row r="137" spans="1:85" ht="12.75" x14ac:dyDescent="0.2">
      <c r="A137" s="28"/>
      <c r="B137" s="28"/>
      <c r="C137" s="28"/>
      <c r="D137" s="28"/>
      <c r="E137" s="28"/>
      <c r="F137" s="28"/>
      <c r="G137" s="28"/>
      <c r="H137" s="28"/>
      <c r="I137" s="28"/>
      <c r="J137" s="28"/>
      <c r="K137" s="36"/>
      <c r="L137" s="28"/>
      <c r="M137" s="28"/>
      <c r="N137" s="28"/>
      <c r="O137" s="28"/>
      <c r="P137" s="28"/>
      <c r="Q137" s="36"/>
      <c r="R137" s="36"/>
      <c r="S137" s="36"/>
      <c r="T137" s="36"/>
      <c r="U137" s="36"/>
      <c r="V137" s="36"/>
      <c r="W137" s="36"/>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c r="CC137" s="28"/>
      <c r="CD137" s="28"/>
      <c r="CE137" s="28"/>
      <c r="CF137" s="28"/>
      <c r="CG137" s="28"/>
    </row>
    <row r="138" spans="1:85" ht="12.75" x14ac:dyDescent="0.2">
      <c r="A138" s="28"/>
      <c r="B138" s="28"/>
      <c r="C138" s="28"/>
      <c r="D138" s="28"/>
      <c r="E138" s="28"/>
      <c r="F138" s="28"/>
      <c r="G138" s="28"/>
      <c r="H138" s="28"/>
      <c r="I138" s="28"/>
      <c r="J138" s="28"/>
      <c r="K138" s="36"/>
      <c r="L138" s="28"/>
      <c r="M138" s="28"/>
      <c r="N138" s="28"/>
      <c r="O138" s="28"/>
      <c r="P138" s="28"/>
      <c r="Q138" s="36"/>
      <c r="R138" s="36"/>
      <c r="S138" s="36"/>
      <c r="T138" s="36"/>
      <c r="U138" s="36"/>
      <c r="V138" s="36"/>
      <c r="W138" s="36"/>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row>
    <row r="139" spans="1:85" ht="12.75" x14ac:dyDescent="0.2">
      <c r="A139" s="28"/>
      <c r="B139" s="28"/>
      <c r="C139" s="28"/>
      <c r="D139" s="28"/>
      <c r="E139" s="28"/>
      <c r="F139" s="28"/>
      <c r="G139" s="28"/>
      <c r="H139" s="28"/>
      <c r="I139" s="28"/>
      <c r="J139" s="28"/>
      <c r="K139" s="36"/>
      <c r="L139" s="28"/>
      <c r="M139" s="28"/>
      <c r="N139" s="28"/>
      <c r="O139" s="28"/>
      <c r="P139" s="28"/>
      <c r="Q139" s="36"/>
      <c r="R139" s="36"/>
      <c r="S139" s="36"/>
      <c r="T139" s="36"/>
      <c r="U139" s="36"/>
      <c r="V139" s="36"/>
      <c r="W139" s="36"/>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row>
    <row r="140" spans="1:85" ht="12.75" x14ac:dyDescent="0.2">
      <c r="A140" s="28"/>
      <c r="B140" s="28"/>
      <c r="C140" s="28"/>
      <c r="D140" s="28"/>
      <c r="E140" s="28"/>
      <c r="F140" s="28"/>
      <c r="G140" s="28"/>
      <c r="H140" s="28"/>
      <c r="I140" s="28"/>
      <c r="J140" s="28"/>
      <c r="K140" s="36"/>
      <c r="L140" s="28"/>
      <c r="M140" s="28"/>
      <c r="N140" s="28"/>
      <c r="O140" s="28"/>
      <c r="P140" s="28"/>
      <c r="Q140" s="36"/>
      <c r="R140" s="36"/>
      <c r="S140" s="36"/>
      <c r="T140" s="36"/>
      <c r="U140" s="36"/>
      <c r="V140" s="36"/>
      <c r="W140" s="36"/>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row>
    <row r="141" spans="1:85" ht="12.75" x14ac:dyDescent="0.2">
      <c r="A141" s="28"/>
      <c r="B141" s="28"/>
      <c r="C141" s="28"/>
      <c r="D141" s="28"/>
      <c r="E141" s="28"/>
      <c r="F141" s="28"/>
      <c r="G141" s="28"/>
      <c r="H141" s="28"/>
      <c r="I141" s="28"/>
      <c r="J141" s="28"/>
      <c r="K141" s="36"/>
      <c r="L141" s="28"/>
      <c r="M141" s="28"/>
      <c r="N141" s="28"/>
      <c r="O141" s="28"/>
      <c r="P141" s="28"/>
      <c r="Q141" s="36"/>
      <c r="R141" s="36"/>
      <c r="S141" s="36"/>
      <c r="T141" s="36"/>
      <c r="U141" s="36"/>
      <c r="V141" s="36"/>
      <c r="W141" s="36"/>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c r="CC141" s="28"/>
      <c r="CD141" s="28"/>
      <c r="CE141" s="28"/>
      <c r="CF141" s="28"/>
      <c r="CG141" s="28"/>
    </row>
    <row r="142" spans="1:85" ht="12.75" x14ac:dyDescent="0.2">
      <c r="A142" s="28"/>
      <c r="B142" s="28"/>
      <c r="C142" s="28"/>
      <c r="D142" s="28"/>
      <c r="E142" s="28"/>
      <c r="F142" s="28"/>
      <c r="G142" s="28"/>
      <c r="H142" s="28"/>
      <c r="I142" s="28"/>
      <c r="J142" s="28"/>
      <c r="K142" s="36"/>
      <c r="L142" s="28"/>
      <c r="M142" s="28"/>
      <c r="N142" s="28"/>
      <c r="O142" s="28"/>
      <c r="P142" s="28"/>
      <c r="Q142" s="36"/>
      <c r="R142" s="36"/>
      <c r="S142" s="36"/>
      <c r="T142" s="36"/>
      <c r="U142" s="36"/>
      <c r="V142" s="36"/>
      <c r="W142" s="36"/>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row>
    <row r="143" spans="1:85" ht="12.75" x14ac:dyDescent="0.2">
      <c r="A143" s="28"/>
      <c r="B143" s="28"/>
      <c r="C143" s="28"/>
      <c r="D143" s="28"/>
      <c r="E143" s="28"/>
      <c r="F143" s="28"/>
      <c r="G143" s="28"/>
      <c r="H143" s="28"/>
      <c r="I143" s="28"/>
      <c r="J143" s="28"/>
      <c r="K143" s="36"/>
      <c r="L143" s="28"/>
      <c r="M143" s="28"/>
      <c r="N143" s="28"/>
      <c r="O143" s="28"/>
      <c r="P143" s="28"/>
      <c r="Q143" s="36"/>
      <c r="R143" s="36"/>
      <c r="S143" s="36"/>
      <c r="T143" s="36"/>
      <c r="U143" s="36"/>
      <c r="V143" s="36"/>
      <c r="W143" s="36"/>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c r="CC143" s="28"/>
      <c r="CD143" s="28"/>
      <c r="CE143" s="28"/>
      <c r="CF143" s="28"/>
      <c r="CG143" s="28"/>
    </row>
    <row r="144" spans="1:85" ht="12.75" x14ac:dyDescent="0.2">
      <c r="A144" s="28"/>
      <c r="B144" s="28"/>
      <c r="C144" s="28"/>
      <c r="D144" s="28"/>
      <c r="E144" s="28"/>
      <c r="F144" s="28"/>
      <c r="G144" s="28"/>
      <c r="H144" s="28"/>
      <c r="I144" s="28"/>
      <c r="J144" s="28"/>
      <c r="K144" s="36"/>
      <c r="L144" s="28"/>
      <c r="M144" s="28"/>
      <c r="N144" s="28"/>
      <c r="O144" s="28"/>
      <c r="P144" s="28"/>
      <c r="Q144" s="36"/>
      <c r="R144" s="36"/>
      <c r="S144" s="36"/>
      <c r="T144" s="36"/>
      <c r="U144" s="36"/>
      <c r="V144" s="36"/>
      <c r="W144" s="36"/>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row>
    <row r="145" spans="1:85" ht="12.75" x14ac:dyDescent="0.2">
      <c r="A145" s="28"/>
      <c r="B145" s="28"/>
      <c r="C145" s="28"/>
      <c r="D145" s="28"/>
      <c r="E145" s="28"/>
      <c r="F145" s="28"/>
      <c r="G145" s="28"/>
      <c r="H145" s="28"/>
      <c r="I145" s="28"/>
      <c r="J145" s="28"/>
      <c r="K145" s="36"/>
      <c r="L145" s="28"/>
      <c r="M145" s="28"/>
      <c r="N145" s="28"/>
      <c r="O145" s="28"/>
      <c r="P145" s="28"/>
      <c r="Q145" s="36"/>
      <c r="R145" s="36"/>
      <c r="S145" s="36"/>
      <c r="T145" s="36"/>
      <c r="U145" s="36"/>
      <c r="V145" s="36"/>
      <c r="W145" s="36"/>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c r="CC145" s="28"/>
      <c r="CD145" s="28"/>
      <c r="CE145" s="28"/>
      <c r="CF145" s="28"/>
      <c r="CG145" s="28"/>
    </row>
    <row r="146" spans="1:85" ht="12.75" x14ac:dyDescent="0.2">
      <c r="A146" s="28"/>
      <c r="B146" s="28"/>
      <c r="C146" s="28"/>
      <c r="D146" s="28"/>
      <c r="E146" s="28"/>
      <c r="F146" s="28"/>
      <c r="G146" s="28"/>
      <c r="H146" s="28"/>
      <c r="I146" s="28"/>
      <c r="J146" s="28"/>
      <c r="K146" s="36"/>
      <c r="L146" s="28"/>
      <c r="M146" s="28"/>
      <c r="N146" s="28"/>
      <c r="O146" s="28"/>
      <c r="P146" s="28"/>
      <c r="Q146" s="36"/>
      <c r="R146" s="36"/>
      <c r="S146" s="36"/>
      <c r="T146" s="36"/>
      <c r="U146" s="36"/>
      <c r="V146" s="36"/>
      <c r="W146" s="36"/>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row>
    <row r="147" spans="1:85" ht="12.75" x14ac:dyDescent="0.2">
      <c r="A147" s="28"/>
      <c r="B147" s="28"/>
      <c r="C147" s="28"/>
      <c r="D147" s="28"/>
      <c r="E147" s="28"/>
      <c r="F147" s="28"/>
      <c r="G147" s="28"/>
      <c r="H147" s="28"/>
      <c r="I147" s="28"/>
      <c r="J147" s="28"/>
      <c r="K147" s="36"/>
      <c r="L147" s="28"/>
      <c r="M147" s="28"/>
      <c r="N147" s="28"/>
      <c r="O147" s="28"/>
      <c r="P147" s="28"/>
      <c r="Q147" s="36"/>
      <c r="R147" s="36"/>
      <c r="S147" s="36"/>
      <c r="T147" s="36"/>
      <c r="U147" s="36"/>
      <c r="V147" s="36"/>
      <c r="W147" s="36"/>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c r="CC147" s="28"/>
      <c r="CD147" s="28"/>
      <c r="CE147" s="28"/>
      <c r="CF147" s="28"/>
      <c r="CG147" s="28"/>
    </row>
    <row r="148" spans="1:85" ht="12.75" x14ac:dyDescent="0.2">
      <c r="A148" s="28"/>
      <c r="B148" s="28"/>
      <c r="C148" s="28"/>
      <c r="D148" s="28"/>
      <c r="E148" s="28"/>
      <c r="F148" s="28"/>
      <c r="G148" s="28"/>
      <c r="H148" s="28"/>
      <c r="I148" s="28"/>
      <c r="J148" s="28"/>
      <c r="K148" s="36"/>
      <c r="L148" s="28"/>
      <c r="M148" s="28"/>
      <c r="N148" s="28"/>
      <c r="O148" s="28"/>
      <c r="P148" s="28"/>
      <c r="Q148" s="36"/>
      <c r="R148" s="36"/>
      <c r="S148" s="36"/>
      <c r="T148" s="36"/>
      <c r="U148" s="36"/>
      <c r="V148" s="36"/>
      <c r="W148" s="36"/>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row>
    <row r="149" spans="1:85" ht="12.75" x14ac:dyDescent="0.2">
      <c r="A149" s="28"/>
      <c r="B149" s="28"/>
      <c r="C149" s="28"/>
      <c r="D149" s="28"/>
      <c r="E149" s="28"/>
      <c r="F149" s="28"/>
      <c r="G149" s="28"/>
      <c r="H149" s="28"/>
      <c r="I149" s="28"/>
      <c r="J149" s="28"/>
      <c r="K149" s="36"/>
      <c r="L149" s="28"/>
      <c r="M149" s="28"/>
      <c r="N149" s="28"/>
      <c r="O149" s="28"/>
      <c r="P149" s="28"/>
      <c r="Q149" s="36"/>
      <c r="R149" s="36"/>
      <c r="S149" s="36"/>
      <c r="T149" s="36"/>
      <c r="U149" s="36"/>
      <c r="V149" s="36"/>
      <c r="W149" s="36"/>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c r="CC149" s="28"/>
      <c r="CD149" s="28"/>
      <c r="CE149" s="28"/>
      <c r="CF149" s="28"/>
      <c r="CG149" s="28"/>
    </row>
    <row r="150" spans="1:85" ht="12.75" x14ac:dyDescent="0.2">
      <c r="A150" s="28"/>
      <c r="B150" s="28"/>
      <c r="C150" s="28"/>
      <c r="D150" s="28"/>
      <c r="E150" s="28"/>
      <c r="F150" s="28"/>
      <c r="G150" s="28"/>
      <c r="H150" s="28"/>
      <c r="I150" s="28"/>
      <c r="J150" s="28"/>
      <c r="K150" s="36"/>
      <c r="L150" s="28"/>
      <c r="M150" s="28"/>
      <c r="N150" s="28"/>
      <c r="O150" s="28"/>
      <c r="P150" s="28"/>
      <c r="Q150" s="36"/>
      <c r="R150" s="36"/>
      <c r="S150" s="36"/>
      <c r="T150" s="36"/>
      <c r="U150" s="36"/>
      <c r="V150" s="36"/>
      <c r="W150" s="36"/>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row>
    <row r="151" spans="1:85" ht="12.75" x14ac:dyDescent="0.2">
      <c r="A151" s="28"/>
      <c r="B151" s="28"/>
      <c r="C151" s="28"/>
      <c r="D151" s="28"/>
      <c r="E151" s="28"/>
      <c r="F151" s="28"/>
      <c r="G151" s="28"/>
      <c r="H151" s="28"/>
      <c r="I151" s="28"/>
      <c r="J151" s="28"/>
      <c r="K151" s="36"/>
      <c r="L151" s="28"/>
      <c r="M151" s="28"/>
      <c r="N151" s="28"/>
      <c r="O151" s="28"/>
      <c r="P151" s="28"/>
      <c r="Q151" s="36"/>
      <c r="R151" s="36"/>
      <c r="S151" s="36"/>
      <c r="T151" s="36"/>
      <c r="U151" s="36"/>
      <c r="V151" s="36"/>
      <c r="W151" s="36"/>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row>
    <row r="152" spans="1:85" ht="12.75" x14ac:dyDescent="0.2">
      <c r="A152" s="28"/>
      <c r="B152" s="28"/>
      <c r="C152" s="28"/>
      <c r="D152" s="28"/>
      <c r="E152" s="28"/>
      <c r="F152" s="28"/>
      <c r="G152" s="28"/>
      <c r="H152" s="28"/>
      <c r="I152" s="28"/>
      <c r="J152" s="28"/>
      <c r="K152" s="36"/>
      <c r="L152" s="28"/>
      <c r="M152" s="28"/>
      <c r="N152" s="28"/>
      <c r="O152" s="28"/>
      <c r="P152" s="28"/>
      <c r="Q152" s="36"/>
      <c r="R152" s="36"/>
      <c r="S152" s="36"/>
      <c r="T152" s="36"/>
      <c r="U152" s="36"/>
      <c r="V152" s="36"/>
      <c r="W152" s="36"/>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row>
    <row r="153" spans="1:85" ht="12.75" x14ac:dyDescent="0.2">
      <c r="A153" s="28"/>
      <c r="B153" s="28"/>
      <c r="C153" s="28"/>
      <c r="D153" s="28"/>
      <c r="E153" s="28"/>
      <c r="F153" s="28"/>
      <c r="G153" s="28"/>
      <c r="H153" s="28"/>
      <c r="I153" s="28"/>
      <c r="J153" s="28"/>
      <c r="K153" s="36"/>
      <c r="L153" s="28"/>
      <c r="M153" s="28"/>
      <c r="N153" s="28"/>
      <c r="O153" s="28"/>
      <c r="P153" s="28"/>
      <c r="Q153" s="36"/>
      <c r="R153" s="36"/>
      <c r="S153" s="36"/>
      <c r="T153" s="36"/>
      <c r="U153" s="36"/>
      <c r="V153" s="36"/>
      <c r="W153" s="36"/>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c r="CC153" s="28"/>
      <c r="CD153" s="28"/>
      <c r="CE153" s="28"/>
      <c r="CF153" s="28"/>
      <c r="CG153" s="28"/>
    </row>
    <row r="154" spans="1:85" ht="12.75" x14ac:dyDescent="0.2">
      <c r="A154" s="28"/>
      <c r="B154" s="28"/>
      <c r="C154" s="28"/>
      <c r="D154" s="28"/>
      <c r="E154" s="28"/>
      <c r="F154" s="28"/>
      <c r="G154" s="28"/>
      <c r="H154" s="28"/>
      <c r="I154" s="28"/>
      <c r="J154" s="28"/>
      <c r="K154" s="36"/>
      <c r="L154" s="28"/>
      <c r="M154" s="28"/>
      <c r="N154" s="28"/>
      <c r="O154" s="28"/>
      <c r="P154" s="28"/>
      <c r="Q154" s="36"/>
      <c r="R154" s="36"/>
      <c r="S154" s="36"/>
      <c r="T154" s="36"/>
      <c r="U154" s="36"/>
      <c r="V154" s="36"/>
      <c r="W154" s="36"/>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row>
    <row r="155" spans="1:85" ht="12.75" x14ac:dyDescent="0.2">
      <c r="A155" s="28"/>
      <c r="B155" s="28"/>
      <c r="C155" s="28"/>
      <c r="D155" s="28"/>
      <c r="E155" s="28"/>
      <c r="F155" s="28"/>
      <c r="G155" s="28"/>
      <c r="H155" s="28"/>
      <c r="I155" s="28"/>
      <c r="J155" s="28"/>
      <c r="K155" s="36"/>
      <c r="L155" s="28"/>
      <c r="M155" s="28"/>
      <c r="N155" s="28"/>
      <c r="O155" s="28"/>
      <c r="P155" s="28"/>
      <c r="Q155" s="36"/>
      <c r="R155" s="36"/>
      <c r="S155" s="36"/>
      <c r="T155" s="36"/>
      <c r="U155" s="36"/>
      <c r="V155" s="36"/>
      <c r="W155" s="36"/>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row>
    <row r="156" spans="1:85" ht="12.75" x14ac:dyDescent="0.2">
      <c r="A156" s="28"/>
      <c r="B156" s="28"/>
      <c r="C156" s="28"/>
      <c r="D156" s="28"/>
      <c r="E156" s="28"/>
      <c r="F156" s="28"/>
      <c r="G156" s="28"/>
      <c r="H156" s="28"/>
      <c r="I156" s="28"/>
      <c r="J156" s="28"/>
      <c r="K156" s="36"/>
      <c r="L156" s="28"/>
      <c r="M156" s="28"/>
      <c r="N156" s="28"/>
      <c r="O156" s="28"/>
      <c r="P156" s="28"/>
      <c r="Q156" s="36"/>
      <c r="R156" s="36"/>
      <c r="S156" s="36"/>
      <c r="T156" s="36"/>
      <c r="U156" s="36"/>
      <c r="V156" s="36"/>
      <c r="W156" s="36"/>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row>
    <row r="157" spans="1:85" ht="12.75" x14ac:dyDescent="0.2">
      <c r="A157" s="28"/>
      <c r="B157" s="28"/>
      <c r="C157" s="28"/>
      <c r="D157" s="28"/>
      <c r="E157" s="28"/>
      <c r="F157" s="28"/>
      <c r="G157" s="28"/>
      <c r="H157" s="28"/>
      <c r="I157" s="28"/>
      <c r="J157" s="28"/>
      <c r="K157" s="36"/>
      <c r="L157" s="28"/>
      <c r="M157" s="28"/>
      <c r="N157" s="28"/>
      <c r="O157" s="28"/>
      <c r="P157" s="28"/>
      <c r="Q157" s="36"/>
      <c r="R157" s="36"/>
      <c r="S157" s="36"/>
      <c r="T157" s="36"/>
      <c r="U157" s="36"/>
      <c r="V157" s="36"/>
      <c r="W157" s="36"/>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c r="CC157" s="28"/>
      <c r="CD157" s="28"/>
      <c r="CE157" s="28"/>
      <c r="CF157" s="28"/>
      <c r="CG157" s="28"/>
    </row>
    <row r="158" spans="1:85" ht="12.75" x14ac:dyDescent="0.2">
      <c r="A158" s="28"/>
      <c r="B158" s="28"/>
      <c r="C158" s="28"/>
      <c r="D158" s="28"/>
      <c r="E158" s="28"/>
      <c r="F158" s="28"/>
      <c r="G158" s="28"/>
      <c r="H158" s="28"/>
      <c r="I158" s="28"/>
      <c r="J158" s="28"/>
      <c r="K158" s="36"/>
      <c r="L158" s="28"/>
      <c r="M158" s="28"/>
      <c r="N158" s="28"/>
      <c r="O158" s="28"/>
      <c r="P158" s="28"/>
      <c r="Q158" s="36"/>
      <c r="R158" s="36"/>
      <c r="S158" s="36"/>
      <c r="T158" s="36"/>
      <c r="U158" s="36"/>
      <c r="V158" s="36"/>
      <c r="W158" s="36"/>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row>
    <row r="159" spans="1:85" ht="12.75" x14ac:dyDescent="0.2">
      <c r="A159" s="28"/>
      <c r="B159" s="28"/>
      <c r="C159" s="28"/>
      <c r="D159" s="28"/>
      <c r="E159" s="28"/>
      <c r="F159" s="28"/>
      <c r="G159" s="28"/>
      <c r="H159" s="28"/>
      <c r="I159" s="28"/>
      <c r="J159" s="28"/>
      <c r="K159" s="36"/>
      <c r="L159" s="28"/>
      <c r="M159" s="28"/>
      <c r="N159" s="28"/>
      <c r="O159" s="28"/>
      <c r="P159" s="28"/>
      <c r="Q159" s="36"/>
      <c r="R159" s="36"/>
      <c r="S159" s="36"/>
      <c r="T159" s="36"/>
      <c r="U159" s="36"/>
      <c r="V159" s="36"/>
      <c r="W159" s="36"/>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c r="CF159" s="28"/>
      <c r="CG159" s="28"/>
    </row>
    <row r="160" spans="1:85" ht="12.75" x14ac:dyDescent="0.2">
      <c r="A160" s="28"/>
      <c r="B160" s="28"/>
      <c r="C160" s="28"/>
      <c r="D160" s="28"/>
      <c r="E160" s="28"/>
      <c r="F160" s="28"/>
      <c r="G160" s="28"/>
      <c r="H160" s="28"/>
      <c r="I160" s="28"/>
      <c r="J160" s="28"/>
      <c r="K160" s="36"/>
      <c r="L160" s="28"/>
      <c r="M160" s="28"/>
      <c r="N160" s="28"/>
      <c r="O160" s="28"/>
      <c r="P160" s="28"/>
      <c r="Q160" s="36"/>
      <c r="R160" s="36"/>
      <c r="S160" s="36"/>
      <c r="T160" s="36"/>
      <c r="U160" s="36"/>
      <c r="V160" s="36"/>
      <c r="W160" s="36"/>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row>
    <row r="161" spans="1:85" ht="12.75" x14ac:dyDescent="0.2">
      <c r="A161" s="28"/>
      <c r="B161" s="28"/>
      <c r="C161" s="28"/>
      <c r="D161" s="28"/>
      <c r="E161" s="28"/>
      <c r="F161" s="28"/>
      <c r="G161" s="28"/>
      <c r="H161" s="28"/>
      <c r="I161" s="28"/>
      <c r="J161" s="28"/>
      <c r="K161" s="36"/>
      <c r="L161" s="28"/>
      <c r="M161" s="28"/>
      <c r="N161" s="28"/>
      <c r="O161" s="28"/>
      <c r="P161" s="28"/>
      <c r="Q161" s="36"/>
      <c r="R161" s="36"/>
      <c r="S161" s="36"/>
      <c r="T161" s="36"/>
      <c r="U161" s="36"/>
      <c r="V161" s="36"/>
      <c r="W161" s="36"/>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row>
    <row r="162" spans="1:85" ht="12.75" x14ac:dyDescent="0.2">
      <c r="A162" s="28"/>
      <c r="B162" s="28"/>
      <c r="C162" s="28"/>
      <c r="D162" s="28"/>
      <c r="E162" s="28"/>
      <c r="F162" s="28"/>
      <c r="G162" s="28"/>
      <c r="H162" s="28"/>
      <c r="I162" s="28"/>
      <c r="J162" s="28"/>
      <c r="K162" s="36"/>
      <c r="L162" s="28"/>
      <c r="M162" s="28"/>
      <c r="N162" s="28"/>
      <c r="O162" s="28"/>
      <c r="P162" s="28"/>
      <c r="Q162" s="36"/>
      <c r="R162" s="36"/>
      <c r="S162" s="36"/>
      <c r="T162" s="36"/>
      <c r="U162" s="36"/>
      <c r="V162" s="36"/>
      <c r="W162" s="36"/>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row>
    <row r="163" spans="1:85" ht="12.75" x14ac:dyDescent="0.2">
      <c r="A163" s="28"/>
      <c r="B163" s="28"/>
      <c r="C163" s="28"/>
      <c r="D163" s="28"/>
      <c r="E163" s="28"/>
      <c r="F163" s="28"/>
      <c r="G163" s="28"/>
      <c r="H163" s="28"/>
      <c r="I163" s="28"/>
      <c r="J163" s="28"/>
      <c r="K163" s="36"/>
      <c r="L163" s="28"/>
      <c r="M163" s="28"/>
      <c r="N163" s="28"/>
      <c r="O163" s="28"/>
      <c r="P163" s="28"/>
      <c r="Q163" s="36"/>
      <c r="R163" s="36"/>
      <c r="S163" s="36"/>
      <c r="T163" s="36"/>
      <c r="U163" s="36"/>
      <c r="V163" s="36"/>
      <c r="W163" s="36"/>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row>
    <row r="164" spans="1:85" ht="12.75" x14ac:dyDescent="0.2">
      <c r="A164" s="28"/>
      <c r="B164" s="28"/>
      <c r="C164" s="28"/>
      <c r="D164" s="28"/>
      <c r="E164" s="28"/>
      <c r="F164" s="28"/>
      <c r="G164" s="28"/>
      <c r="H164" s="28"/>
      <c r="I164" s="28"/>
      <c r="J164" s="28"/>
      <c r="K164" s="36"/>
      <c r="L164" s="28"/>
      <c r="M164" s="28"/>
      <c r="N164" s="28"/>
      <c r="O164" s="28"/>
      <c r="P164" s="28"/>
      <c r="Q164" s="36"/>
      <c r="R164" s="36"/>
      <c r="S164" s="36"/>
      <c r="T164" s="36"/>
      <c r="U164" s="36"/>
      <c r="V164" s="36"/>
      <c r="W164" s="36"/>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row>
    <row r="165" spans="1:85" ht="12.75" x14ac:dyDescent="0.2">
      <c r="A165" s="28"/>
      <c r="B165" s="28"/>
      <c r="C165" s="28"/>
      <c r="D165" s="28"/>
      <c r="E165" s="28"/>
      <c r="F165" s="28"/>
      <c r="G165" s="28"/>
      <c r="H165" s="28"/>
      <c r="I165" s="28"/>
      <c r="J165" s="28"/>
      <c r="K165" s="36"/>
      <c r="L165" s="28"/>
      <c r="M165" s="28"/>
      <c r="N165" s="28"/>
      <c r="O165" s="28"/>
      <c r="P165" s="28"/>
      <c r="Q165" s="36"/>
      <c r="R165" s="36"/>
      <c r="S165" s="36"/>
      <c r="T165" s="36"/>
      <c r="U165" s="36"/>
      <c r="V165" s="36"/>
      <c r="W165" s="36"/>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c r="CC165" s="28"/>
      <c r="CD165" s="28"/>
      <c r="CE165" s="28"/>
      <c r="CF165" s="28"/>
      <c r="CG165" s="28"/>
    </row>
    <row r="166" spans="1:85" ht="12.75" x14ac:dyDescent="0.2">
      <c r="A166" s="28"/>
      <c r="B166" s="28"/>
      <c r="C166" s="28"/>
      <c r="D166" s="28"/>
      <c r="E166" s="28"/>
      <c r="F166" s="28"/>
      <c r="G166" s="28"/>
      <c r="H166" s="28"/>
      <c r="I166" s="28"/>
      <c r="J166" s="28"/>
      <c r="K166" s="36"/>
      <c r="L166" s="28"/>
      <c r="M166" s="28"/>
      <c r="N166" s="28"/>
      <c r="O166" s="28"/>
      <c r="P166" s="28"/>
      <c r="Q166" s="36"/>
      <c r="R166" s="36"/>
      <c r="S166" s="36"/>
      <c r="T166" s="36"/>
      <c r="U166" s="36"/>
      <c r="V166" s="36"/>
      <c r="W166" s="36"/>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row>
    <row r="167" spans="1:85" ht="12.75" x14ac:dyDescent="0.2">
      <c r="A167" s="28"/>
      <c r="B167" s="28"/>
      <c r="C167" s="28"/>
      <c r="D167" s="28"/>
      <c r="E167" s="28"/>
      <c r="F167" s="28"/>
      <c r="G167" s="28"/>
      <c r="H167" s="28"/>
      <c r="I167" s="28"/>
      <c r="J167" s="28"/>
      <c r="K167" s="36"/>
      <c r="L167" s="28"/>
      <c r="M167" s="28"/>
      <c r="N167" s="28"/>
      <c r="O167" s="28"/>
      <c r="P167" s="28"/>
      <c r="Q167" s="36"/>
      <c r="R167" s="36"/>
      <c r="S167" s="36"/>
      <c r="T167" s="36"/>
      <c r="U167" s="36"/>
      <c r="V167" s="36"/>
      <c r="W167" s="36"/>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c r="CC167" s="28"/>
      <c r="CD167" s="28"/>
      <c r="CE167" s="28"/>
      <c r="CF167" s="28"/>
      <c r="CG167" s="28"/>
    </row>
    <row r="168" spans="1:85" ht="12.75" x14ac:dyDescent="0.2">
      <c r="A168" s="28"/>
      <c r="B168" s="28"/>
      <c r="C168" s="28"/>
      <c r="D168" s="28"/>
      <c r="E168" s="28"/>
      <c r="F168" s="28"/>
      <c r="G168" s="28"/>
      <c r="H168" s="28"/>
      <c r="I168" s="28"/>
      <c r="J168" s="28"/>
      <c r="K168" s="36"/>
      <c r="L168" s="28"/>
      <c r="M168" s="28"/>
      <c r="N168" s="28"/>
      <c r="O168" s="28"/>
      <c r="P168" s="28"/>
      <c r="Q168" s="36"/>
      <c r="R168" s="36"/>
      <c r="S168" s="36"/>
      <c r="T168" s="36"/>
      <c r="U168" s="36"/>
      <c r="V168" s="36"/>
      <c r="W168" s="36"/>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row>
    <row r="169" spans="1:85" ht="12.75" x14ac:dyDescent="0.2">
      <c r="A169" s="28"/>
      <c r="B169" s="28"/>
      <c r="C169" s="28"/>
      <c r="D169" s="28"/>
      <c r="E169" s="28"/>
      <c r="F169" s="28"/>
      <c r="G169" s="28"/>
      <c r="H169" s="28"/>
      <c r="I169" s="28"/>
      <c r="J169" s="28"/>
      <c r="K169" s="36"/>
      <c r="L169" s="28"/>
      <c r="M169" s="28"/>
      <c r="N169" s="28"/>
      <c r="O169" s="28"/>
      <c r="P169" s="28"/>
      <c r="Q169" s="36"/>
      <c r="R169" s="36"/>
      <c r="S169" s="36"/>
      <c r="T169" s="36"/>
      <c r="U169" s="36"/>
      <c r="V169" s="36"/>
      <c r="W169" s="36"/>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c r="CC169" s="28"/>
      <c r="CD169" s="28"/>
      <c r="CE169" s="28"/>
      <c r="CF169" s="28"/>
      <c r="CG169" s="28"/>
    </row>
    <row r="170" spans="1:85" ht="12.75" x14ac:dyDescent="0.2">
      <c r="A170" s="28"/>
      <c r="B170" s="28"/>
      <c r="C170" s="28"/>
      <c r="D170" s="28"/>
      <c r="E170" s="28"/>
      <c r="F170" s="28"/>
      <c r="G170" s="28"/>
      <c r="H170" s="28"/>
      <c r="I170" s="28"/>
      <c r="J170" s="28"/>
      <c r="K170" s="36"/>
      <c r="L170" s="28"/>
      <c r="M170" s="28"/>
      <c r="N170" s="28"/>
      <c r="O170" s="28"/>
      <c r="P170" s="28"/>
      <c r="Q170" s="36"/>
      <c r="R170" s="36"/>
      <c r="S170" s="36"/>
      <c r="T170" s="36"/>
      <c r="U170" s="36"/>
      <c r="V170" s="36"/>
      <c r="W170" s="36"/>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row>
    <row r="171" spans="1:85" ht="12.75" x14ac:dyDescent="0.2">
      <c r="A171" s="28"/>
      <c r="B171" s="28"/>
      <c r="C171" s="28"/>
      <c r="D171" s="28"/>
      <c r="E171" s="28"/>
      <c r="F171" s="28"/>
      <c r="G171" s="28"/>
      <c r="H171" s="28"/>
      <c r="I171" s="28"/>
      <c r="J171" s="28"/>
      <c r="K171" s="36"/>
      <c r="L171" s="28"/>
      <c r="M171" s="28"/>
      <c r="N171" s="28"/>
      <c r="O171" s="28"/>
      <c r="P171" s="28"/>
      <c r="Q171" s="36"/>
      <c r="R171" s="36"/>
      <c r="S171" s="36"/>
      <c r="T171" s="36"/>
      <c r="U171" s="36"/>
      <c r="V171" s="36"/>
      <c r="W171" s="36"/>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c r="CC171" s="28"/>
      <c r="CD171" s="28"/>
      <c r="CE171" s="28"/>
      <c r="CF171" s="28"/>
      <c r="CG171" s="28"/>
    </row>
    <row r="172" spans="1:85" ht="12.75" x14ac:dyDescent="0.2">
      <c r="A172" s="28"/>
      <c r="B172" s="28"/>
      <c r="C172" s="28"/>
      <c r="D172" s="28"/>
      <c r="E172" s="28"/>
      <c r="F172" s="28"/>
      <c r="G172" s="28"/>
      <c r="H172" s="28"/>
      <c r="I172" s="28"/>
      <c r="J172" s="28"/>
      <c r="K172" s="36"/>
      <c r="L172" s="28"/>
      <c r="M172" s="28"/>
      <c r="N172" s="28"/>
      <c r="O172" s="28"/>
      <c r="P172" s="28"/>
      <c r="Q172" s="36"/>
      <c r="R172" s="36"/>
      <c r="S172" s="36"/>
      <c r="T172" s="36"/>
      <c r="U172" s="36"/>
      <c r="V172" s="36"/>
      <c r="W172" s="36"/>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row>
    <row r="173" spans="1:85" ht="12.75" x14ac:dyDescent="0.2">
      <c r="A173" s="28"/>
      <c r="B173" s="28"/>
      <c r="C173" s="28"/>
      <c r="D173" s="28"/>
      <c r="E173" s="28"/>
      <c r="F173" s="28"/>
      <c r="G173" s="28"/>
      <c r="H173" s="28"/>
      <c r="I173" s="28"/>
      <c r="J173" s="28"/>
      <c r="K173" s="36"/>
      <c r="L173" s="28"/>
      <c r="M173" s="28"/>
      <c r="N173" s="28"/>
      <c r="O173" s="28"/>
      <c r="P173" s="28"/>
      <c r="Q173" s="36"/>
      <c r="R173" s="36"/>
      <c r="S173" s="36"/>
      <c r="T173" s="36"/>
      <c r="U173" s="36"/>
      <c r="V173" s="36"/>
      <c r="W173" s="36"/>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row>
    <row r="174" spans="1:85" ht="12.75" x14ac:dyDescent="0.2">
      <c r="A174" s="28"/>
      <c r="B174" s="28"/>
      <c r="C174" s="28"/>
      <c r="D174" s="28"/>
      <c r="E174" s="28"/>
      <c r="F174" s="28"/>
      <c r="G174" s="28"/>
      <c r="H174" s="28"/>
      <c r="I174" s="28"/>
      <c r="J174" s="28"/>
      <c r="K174" s="36"/>
      <c r="L174" s="28"/>
      <c r="M174" s="28"/>
      <c r="N174" s="28"/>
      <c r="O174" s="28"/>
      <c r="P174" s="28"/>
      <c r="Q174" s="36"/>
      <c r="R174" s="36"/>
      <c r="S174" s="36"/>
      <c r="T174" s="36"/>
      <c r="U174" s="36"/>
      <c r="V174" s="36"/>
      <c r="W174" s="36"/>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row>
    <row r="175" spans="1:85" ht="12.75" x14ac:dyDescent="0.2">
      <c r="A175" s="28"/>
      <c r="B175" s="28"/>
      <c r="C175" s="28"/>
      <c r="D175" s="28"/>
      <c r="E175" s="28"/>
      <c r="F175" s="28"/>
      <c r="G175" s="28"/>
      <c r="H175" s="28"/>
      <c r="I175" s="28"/>
      <c r="J175" s="28"/>
      <c r="K175" s="36"/>
      <c r="L175" s="28"/>
      <c r="M175" s="28"/>
      <c r="N175" s="28"/>
      <c r="O175" s="28"/>
      <c r="P175" s="28"/>
      <c r="Q175" s="36"/>
      <c r="R175" s="36"/>
      <c r="S175" s="36"/>
      <c r="T175" s="36"/>
      <c r="U175" s="36"/>
      <c r="V175" s="36"/>
      <c r="W175" s="36"/>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c r="CC175" s="28"/>
      <c r="CD175" s="28"/>
      <c r="CE175" s="28"/>
      <c r="CF175" s="28"/>
      <c r="CG175" s="28"/>
    </row>
    <row r="176" spans="1:85" ht="12.75" x14ac:dyDescent="0.2">
      <c r="A176" s="28"/>
      <c r="B176" s="28"/>
      <c r="C176" s="28"/>
      <c r="D176" s="28"/>
      <c r="E176" s="28"/>
      <c r="F176" s="28"/>
      <c r="G176" s="28"/>
      <c r="H176" s="28"/>
      <c r="I176" s="28"/>
      <c r="J176" s="28"/>
      <c r="K176" s="36"/>
      <c r="L176" s="28"/>
      <c r="M176" s="28"/>
      <c r="N176" s="28"/>
      <c r="O176" s="28"/>
      <c r="P176" s="28"/>
      <c r="Q176" s="36"/>
      <c r="R176" s="36"/>
      <c r="S176" s="36"/>
      <c r="T176" s="36"/>
      <c r="U176" s="36"/>
      <c r="V176" s="36"/>
      <c r="W176" s="36"/>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row>
    <row r="177" spans="1:85" ht="12.75" x14ac:dyDescent="0.2">
      <c r="A177" s="28"/>
      <c r="B177" s="28"/>
      <c r="C177" s="28"/>
      <c r="D177" s="28"/>
      <c r="E177" s="28"/>
      <c r="F177" s="28"/>
      <c r="G177" s="28"/>
      <c r="H177" s="28"/>
      <c r="I177" s="28"/>
      <c r="J177" s="28"/>
      <c r="K177" s="36"/>
      <c r="L177" s="28"/>
      <c r="M177" s="28"/>
      <c r="N177" s="28"/>
      <c r="O177" s="28"/>
      <c r="P177" s="28"/>
      <c r="Q177" s="36"/>
      <c r="R177" s="36"/>
      <c r="S177" s="36"/>
      <c r="T177" s="36"/>
      <c r="U177" s="36"/>
      <c r="V177" s="36"/>
      <c r="W177" s="36"/>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c r="CC177" s="28"/>
      <c r="CD177" s="28"/>
      <c r="CE177" s="28"/>
      <c r="CF177" s="28"/>
      <c r="CG177" s="28"/>
    </row>
    <row r="178" spans="1:85" ht="12.75" x14ac:dyDescent="0.2">
      <c r="A178" s="28"/>
      <c r="B178" s="28"/>
      <c r="C178" s="28"/>
      <c r="D178" s="28"/>
      <c r="E178" s="28"/>
      <c r="F178" s="28"/>
      <c r="G178" s="28"/>
      <c r="H178" s="28"/>
      <c r="I178" s="28"/>
      <c r="J178" s="28"/>
      <c r="K178" s="36"/>
      <c r="L178" s="28"/>
      <c r="M178" s="28"/>
      <c r="N178" s="28"/>
      <c r="O178" s="28"/>
      <c r="P178" s="28"/>
      <c r="Q178" s="36"/>
      <c r="R178" s="36"/>
      <c r="S178" s="36"/>
      <c r="T178" s="36"/>
      <c r="U178" s="36"/>
      <c r="V178" s="36"/>
      <c r="W178" s="36"/>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row>
    <row r="179" spans="1:85" ht="12.75" x14ac:dyDescent="0.2">
      <c r="A179" s="28"/>
      <c r="B179" s="28"/>
      <c r="C179" s="28"/>
      <c r="D179" s="28"/>
      <c r="E179" s="28"/>
      <c r="F179" s="28"/>
      <c r="G179" s="28"/>
      <c r="H179" s="28"/>
      <c r="I179" s="28"/>
      <c r="J179" s="28"/>
      <c r="K179" s="36"/>
      <c r="L179" s="28"/>
      <c r="M179" s="28"/>
      <c r="N179" s="28"/>
      <c r="O179" s="28"/>
      <c r="P179" s="28"/>
      <c r="Q179" s="36"/>
      <c r="R179" s="36"/>
      <c r="S179" s="36"/>
      <c r="T179" s="36"/>
      <c r="U179" s="36"/>
      <c r="V179" s="36"/>
      <c r="W179" s="36"/>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c r="CC179" s="28"/>
      <c r="CD179" s="28"/>
      <c r="CE179" s="28"/>
      <c r="CF179" s="28"/>
      <c r="CG179" s="28"/>
    </row>
    <row r="180" spans="1:85" ht="12.75" x14ac:dyDescent="0.2">
      <c r="A180" s="28"/>
      <c r="B180" s="28"/>
      <c r="C180" s="28"/>
      <c r="D180" s="28"/>
      <c r="E180" s="28"/>
      <c r="F180" s="28"/>
      <c r="G180" s="28"/>
      <c r="H180" s="28"/>
      <c r="I180" s="28"/>
      <c r="J180" s="28"/>
      <c r="K180" s="36"/>
      <c r="L180" s="28"/>
      <c r="M180" s="28"/>
      <c r="N180" s="28"/>
      <c r="O180" s="28"/>
      <c r="P180" s="28"/>
      <c r="Q180" s="36"/>
      <c r="R180" s="36"/>
      <c r="S180" s="36"/>
      <c r="T180" s="36"/>
      <c r="U180" s="36"/>
      <c r="V180" s="36"/>
      <c r="W180" s="36"/>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row>
    <row r="181" spans="1:85" ht="12.75" x14ac:dyDescent="0.2">
      <c r="A181" s="28"/>
      <c r="B181" s="28"/>
      <c r="C181" s="28"/>
      <c r="D181" s="28"/>
      <c r="E181" s="28"/>
      <c r="F181" s="28"/>
      <c r="G181" s="28"/>
      <c r="H181" s="28"/>
      <c r="I181" s="28"/>
      <c r="J181" s="28"/>
      <c r="K181" s="36"/>
      <c r="L181" s="28"/>
      <c r="M181" s="28"/>
      <c r="N181" s="28"/>
      <c r="O181" s="28"/>
      <c r="P181" s="28"/>
      <c r="Q181" s="36"/>
      <c r="R181" s="36"/>
      <c r="S181" s="36"/>
      <c r="T181" s="36"/>
      <c r="U181" s="36"/>
      <c r="V181" s="36"/>
      <c r="W181" s="36"/>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c r="CC181" s="28"/>
      <c r="CD181" s="28"/>
      <c r="CE181" s="28"/>
      <c r="CF181" s="28"/>
      <c r="CG181" s="28"/>
    </row>
    <row r="182" spans="1:85" ht="12.75" x14ac:dyDescent="0.2">
      <c r="A182" s="28"/>
      <c r="B182" s="28"/>
      <c r="C182" s="28"/>
      <c r="D182" s="28"/>
      <c r="E182" s="28"/>
      <c r="F182" s="28"/>
      <c r="G182" s="28"/>
      <c r="H182" s="28"/>
      <c r="I182" s="28"/>
      <c r="J182" s="28"/>
      <c r="K182" s="36"/>
      <c r="L182" s="28"/>
      <c r="M182" s="28"/>
      <c r="N182" s="28"/>
      <c r="O182" s="28"/>
      <c r="P182" s="28"/>
      <c r="Q182" s="36"/>
      <c r="R182" s="36"/>
      <c r="S182" s="36"/>
      <c r="T182" s="36"/>
      <c r="U182" s="36"/>
      <c r="V182" s="36"/>
      <c r="W182" s="36"/>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row>
    <row r="183" spans="1:85" ht="12.75" x14ac:dyDescent="0.2">
      <c r="A183" s="28"/>
      <c r="B183" s="28"/>
      <c r="C183" s="28"/>
      <c r="D183" s="28"/>
      <c r="E183" s="28"/>
      <c r="F183" s="28"/>
      <c r="G183" s="28"/>
      <c r="H183" s="28"/>
      <c r="I183" s="28"/>
      <c r="J183" s="28"/>
      <c r="K183" s="36"/>
      <c r="L183" s="28"/>
      <c r="M183" s="28"/>
      <c r="N183" s="28"/>
      <c r="O183" s="28"/>
      <c r="P183" s="28"/>
      <c r="Q183" s="36"/>
      <c r="R183" s="36"/>
      <c r="S183" s="36"/>
      <c r="T183" s="36"/>
      <c r="U183" s="36"/>
      <c r="V183" s="36"/>
      <c r="W183" s="36"/>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c r="CC183" s="28"/>
      <c r="CD183" s="28"/>
      <c r="CE183" s="28"/>
      <c r="CF183" s="28"/>
      <c r="CG183" s="28"/>
    </row>
    <row r="184" spans="1:85" ht="12.75" x14ac:dyDescent="0.2">
      <c r="A184" s="28"/>
      <c r="B184" s="28"/>
      <c r="C184" s="28"/>
      <c r="D184" s="28"/>
      <c r="E184" s="28"/>
      <c r="F184" s="28"/>
      <c r="G184" s="28"/>
      <c r="H184" s="28"/>
      <c r="I184" s="28"/>
      <c r="J184" s="28"/>
      <c r="K184" s="36"/>
      <c r="L184" s="28"/>
      <c r="M184" s="28"/>
      <c r="N184" s="28"/>
      <c r="O184" s="28"/>
      <c r="P184" s="28"/>
      <c r="Q184" s="36"/>
      <c r="R184" s="36"/>
      <c r="S184" s="36"/>
      <c r="T184" s="36"/>
      <c r="U184" s="36"/>
      <c r="V184" s="36"/>
      <c r="W184" s="36"/>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row>
    <row r="185" spans="1:85" ht="12.75" x14ac:dyDescent="0.2">
      <c r="A185" s="28"/>
      <c r="B185" s="28"/>
      <c r="C185" s="28"/>
      <c r="D185" s="28"/>
      <c r="E185" s="28"/>
      <c r="F185" s="28"/>
      <c r="G185" s="28"/>
      <c r="H185" s="28"/>
      <c r="I185" s="28"/>
      <c r="J185" s="28"/>
      <c r="K185" s="36"/>
      <c r="L185" s="28"/>
      <c r="M185" s="28"/>
      <c r="N185" s="28"/>
      <c r="O185" s="28"/>
      <c r="P185" s="28"/>
      <c r="Q185" s="36"/>
      <c r="R185" s="36"/>
      <c r="S185" s="36"/>
      <c r="T185" s="36"/>
      <c r="U185" s="36"/>
      <c r="V185" s="36"/>
      <c r="W185" s="36"/>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c r="CC185" s="28"/>
      <c r="CD185" s="28"/>
      <c r="CE185" s="28"/>
      <c r="CF185" s="28"/>
      <c r="CG185" s="28"/>
    </row>
    <row r="186" spans="1:85" ht="12.75" x14ac:dyDescent="0.2">
      <c r="A186" s="28"/>
      <c r="B186" s="28"/>
      <c r="C186" s="28"/>
      <c r="D186" s="28"/>
      <c r="E186" s="28"/>
      <c r="F186" s="28"/>
      <c r="G186" s="28"/>
      <c r="H186" s="28"/>
      <c r="I186" s="28"/>
      <c r="J186" s="28"/>
      <c r="K186" s="36"/>
      <c r="L186" s="28"/>
      <c r="M186" s="28"/>
      <c r="N186" s="28"/>
      <c r="O186" s="28"/>
      <c r="P186" s="28"/>
      <c r="Q186" s="36"/>
      <c r="R186" s="36"/>
      <c r="S186" s="36"/>
      <c r="T186" s="36"/>
      <c r="U186" s="36"/>
      <c r="V186" s="36"/>
      <c r="W186" s="36"/>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row>
    <row r="187" spans="1:85" ht="12.75" x14ac:dyDescent="0.2">
      <c r="A187" s="28"/>
      <c r="B187" s="28"/>
      <c r="C187" s="28"/>
      <c r="D187" s="28"/>
      <c r="E187" s="28"/>
      <c r="F187" s="28"/>
      <c r="G187" s="28"/>
      <c r="H187" s="28"/>
      <c r="I187" s="28"/>
      <c r="J187" s="28"/>
      <c r="K187" s="36"/>
      <c r="L187" s="28"/>
      <c r="M187" s="28"/>
      <c r="N187" s="28"/>
      <c r="O187" s="28"/>
      <c r="P187" s="28"/>
      <c r="Q187" s="36"/>
      <c r="R187" s="36"/>
      <c r="S187" s="36"/>
      <c r="T187" s="36"/>
      <c r="U187" s="36"/>
      <c r="V187" s="36"/>
      <c r="W187" s="36"/>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c r="CC187" s="28"/>
      <c r="CD187" s="28"/>
      <c r="CE187" s="28"/>
      <c r="CF187" s="28"/>
      <c r="CG187" s="28"/>
    </row>
    <row r="188" spans="1:85" ht="12.75" x14ac:dyDescent="0.2">
      <c r="A188" s="28"/>
      <c r="B188" s="28"/>
      <c r="C188" s="28"/>
      <c r="D188" s="28"/>
      <c r="E188" s="28"/>
      <c r="F188" s="28"/>
      <c r="G188" s="28"/>
      <c r="H188" s="28"/>
      <c r="I188" s="28"/>
      <c r="J188" s="28"/>
      <c r="K188" s="36"/>
      <c r="L188" s="28"/>
      <c r="M188" s="28"/>
      <c r="N188" s="28"/>
      <c r="O188" s="28"/>
      <c r="P188" s="28"/>
      <c r="Q188" s="36"/>
      <c r="R188" s="36"/>
      <c r="S188" s="36"/>
      <c r="T188" s="36"/>
      <c r="U188" s="36"/>
      <c r="V188" s="36"/>
      <c r="W188" s="36"/>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row>
    <row r="189" spans="1:85" ht="12.75" x14ac:dyDescent="0.2">
      <c r="A189" s="28"/>
      <c r="B189" s="28"/>
      <c r="C189" s="28"/>
      <c r="D189" s="28"/>
      <c r="E189" s="28"/>
      <c r="F189" s="28"/>
      <c r="G189" s="28"/>
      <c r="H189" s="28"/>
      <c r="I189" s="28"/>
      <c r="J189" s="28"/>
      <c r="K189" s="36"/>
      <c r="L189" s="28"/>
      <c r="M189" s="28"/>
      <c r="N189" s="28"/>
      <c r="O189" s="28"/>
      <c r="P189" s="28"/>
      <c r="Q189" s="36"/>
      <c r="R189" s="36"/>
      <c r="S189" s="36"/>
      <c r="T189" s="36"/>
      <c r="U189" s="36"/>
      <c r="V189" s="36"/>
      <c r="W189" s="36"/>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c r="CC189" s="28"/>
      <c r="CD189" s="28"/>
      <c r="CE189" s="28"/>
      <c r="CF189" s="28"/>
      <c r="CG189" s="28"/>
    </row>
    <row r="190" spans="1:85" ht="12.75" x14ac:dyDescent="0.2">
      <c r="A190" s="28"/>
      <c r="B190" s="28"/>
      <c r="C190" s="28"/>
      <c r="D190" s="28"/>
      <c r="E190" s="28"/>
      <c r="F190" s="28"/>
      <c r="G190" s="28"/>
      <c r="H190" s="28"/>
      <c r="I190" s="28"/>
      <c r="J190" s="28"/>
      <c r="K190" s="36"/>
      <c r="L190" s="28"/>
      <c r="M190" s="28"/>
      <c r="N190" s="28"/>
      <c r="O190" s="28"/>
      <c r="P190" s="28"/>
      <c r="Q190" s="36"/>
      <c r="R190" s="36"/>
      <c r="S190" s="36"/>
      <c r="T190" s="36"/>
      <c r="U190" s="36"/>
      <c r="V190" s="36"/>
      <c r="W190" s="36"/>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row>
    <row r="191" spans="1:85" ht="12.75" x14ac:dyDescent="0.2">
      <c r="A191" s="28"/>
      <c r="B191" s="28"/>
      <c r="C191" s="28"/>
      <c r="D191" s="28"/>
      <c r="E191" s="28"/>
      <c r="F191" s="28"/>
      <c r="G191" s="28"/>
      <c r="H191" s="28"/>
      <c r="I191" s="28"/>
      <c r="J191" s="28"/>
      <c r="K191" s="36"/>
      <c r="L191" s="28"/>
      <c r="M191" s="28"/>
      <c r="N191" s="28"/>
      <c r="O191" s="28"/>
      <c r="P191" s="28"/>
      <c r="Q191" s="36"/>
      <c r="R191" s="36"/>
      <c r="S191" s="36"/>
      <c r="T191" s="36"/>
      <c r="U191" s="36"/>
      <c r="V191" s="36"/>
      <c r="W191" s="36"/>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c r="CC191" s="28"/>
      <c r="CD191" s="28"/>
      <c r="CE191" s="28"/>
      <c r="CF191" s="28"/>
      <c r="CG191" s="28"/>
    </row>
    <row r="192" spans="1:85" ht="12.75" x14ac:dyDescent="0.2">
      <c r="A192" s="28"/>
      <c r="B192" s="28"/>
      <c r="C192" s="28"/>
      <c r="D192" s="28"/>
      <c r="E192" s="28"/>
      <c r="F192" s="28"/>
      <c r="G192" s="28"/>
      <c r="H192" s="28"/>
      <c r="I192" s="28"/>
      <c r="J192" s="28"/>
      <c r="K192" s="36"/>
      <c r="L192" s="28"/>
      <c r="M192" s="28"/>
      <c r="N192" s="28"/>
      <c r="O192" s="28"/>
      <c r="P192" s="28"/>
      <c r="Q192" s="36"/>
      <c r="R192" s="36"/>
      <c r="S192" s="36"/>
      <c r="T192" s="36"/>
      <c r="U192" s="36"/>
      <c r="V192" s="36"/>
      <c r="W192" s="36"/>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row>
    <row r="193" spans="1:85" ht="12.75" x14ac:dyDescent="0.2">
      <c r="A193" s="28"/>
      <c r="B193" s="28"/>
      <c r="C193" s="28"/>
      <c r="D193" s="28"/>
      <c r="E193" s="28"/>
      <c r="F193" s="28"/>
      <c r="G193" s="28"/>
      <c r="H193" s="28"/>
      <c r="I193" s="28"/>
      <c r="J193" s="28"/>
      <c r="K193" s="36"/>
      <c r="L193" s="28"/>
      <c r="M193" s="28"/>
      <c r="N193" s="28"/>
      <c r="O193" s="28"/>
      <c r="P193" s="28"/>
      <c r="Q193" s="36"/>
      <c r="R193" s="36"/>
      <c r="S193" s="36"/>
      <c r="T193" s="36"/>
      <c r="U193" s="36"/>
      <c r="V193" s="36"/>
      <c r="W193" s="36"/>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c r="CC193" s="28"/>
      <c r="CD193" s="28"/>
      <c r="CE193" s="28"/>
      <c r="CF193" s="28"/>
      <c r="CG193" s="28"/>
    </row>
    <row r="194" spans="1:85" ht="12.75" x14ac:dyDescent="0.2">
      <c r="A194" s="28"/>
      <c r="B194" s="28"/>
      <c r="C194" s="28"/>
      <c r="D194" s="28"/>
      <c r="E194" s="28"/>
      <c r="F194" s="28"/>
      <c r="G194" s="28"/>
      <c r="H194" s="28"/>
      <c r="I194" s="28"/>
      <c r="J194" s="28"/>
      <c r="K194" s="36"/>
      <c r="L194" s="28"/>
      <c r="M194" s="28"/>
      <c r="N194" s="28"/>
      <c r="O194" s="28"/>
      <c r="P194" s="28"/>
      <c r="Q194" s="36"/>
      <c r="R194" s="36"/>
      <c r="S194" s="36"/>
      <c r="T194" s="36"/>
      <c r="U194" s="36"/>
      <c r="V194" s="36"/>
      <c r="W194" s="36"/>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row>
    <row r="195" spans="1:85" ht="12.75" x14ac:dyDescent="0.2">
      <c r="A195" s="28"/>
      <c r="B195" s="28"/>
      <c r="C195" s="28"/>
      <c r="D195" s="28"/>
      <c r="E195" s="28"/>
      <c r="F195" s="28"/>
      <c r="G195" s="28"/>
      <c r="H195" s="28"/>
      <c r="I195" s="28"/>
      <c r="J195" s="28"/>
      <c r="K195" s="36"/>
      <c r="L195" s="28"/>
      <c r="M195" s="28"/>
      <c r="N195" s="28"/>
      <c r="O195" s="28"/>
      <c r="P195" s="28"/>
      <c r="Q195" s="36"/>
      <c r="R195" s="36"/>
      <c r="S195" s="36"/>
      <c r="T195" s="36"/>
      <c r="U195" s="36"/>
      <c r="V195" s="36"/>
      <c r="W195" s="36"/>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c r="CC195" s="28"/>
      <c r="CD195" s="28"/>
      <c r="CE195" s="28"/>
      <c r="CF195" s="28"/>
      <c r="CG195" s="28"/>
    </row>
    <row r="196" spans="1:85" ht="12.75" x14ac:dyDescent="0.2">
      <c r="A196" s="28"/>
      <c r="B196" s="28"/>
      <c r="C196" s="28"/>
      <c r="D196" s="28"/>
      <c r="E196" s="28"/>
      <c r="F196" s="28"/>
      <c r="G196" s="28"/>
      <c r="H196" s="28"/>
      <c r="I196" s="28"/>
      <c r="J196" s="28"/>
      <c r="K196" s="36"/>
      <c r="L196" s="28"/>
      <c r="M196" s="28"/>
      <c r="N196" s="28"/>
      <c r="O196" s="28"/>
      <c r="P196" s="28"/>
      <c r="Q196" s="36"/>
      <c r="R196" s="36"/>
      <c r="S196" s="36"/>
      <c r="T196" s="36"/>
      <c r="U196" s="36"/>
      <c r="V196" s="36"/>
      <c r="W196" s="36"/>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row>
    <row r="197" spans="1:85" ht="12.75" x14ac:dyDescent="0.2">
      <c r="A197" s="28"/>
      <c r="B197" s="28"/>
      <c r="C197" s="28"/>
      <c r="D197" s="28"/>
      <c r="E197" s="28"/>
      <c r="F197" s="28"/>
      <c r="G197" s="28"/>
      <c r="H197" s="28"/>
      <c r="I197" s="28"/>
      <c r="J197" s="28"/>
      <c r="K197" s="36"/>
      <c r="L197" s="28"/>
      <c r="M197" s="28"/>
      <c r="N197" s="28"/>
      <c r="O197" s="28"/>
      <c r="P197" s="28"/>
      <c r="Q197" s="36"/>
      <c r="R197" s="36"/>
      <c r="S197" s="36"/>
      <c r="T197" s="36"/>
      <c r="U197" s="36"/>
      <c r="V197" s="36"/>
      <c r="W197" s="36"/>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c r="CC197" s="28"/>
      <c r="CD197" s="28"/>
      <c r="CE197" s="28"/>
      <c r="CF197" s="28"/>
      <c r="CG197" s="28"/>
    </row>
    <row r="198" spans="1:85" ht="12.75" x14ac:dyDescent="0.2">
      <c r="A198" s="28"/>
      <c r="B198" s="28"/>
      <c r="C198" s="28"/>
      <c r="D198" s="28"/>
      <c r="E198" s="28"/>
      <c r="F198" s="28"/>
      <c r="G198" s="28"/>
      <c r="H198" s="28"/>
      <c r="I198" s="28"/>
      <c r="J198" s="28"/>
      <c r="K198" s="36"/>
      <c r="L198" s="28"/>
      <c r="M198" s="28"/>
      <c r="N198" s="28"/>
      <c r="O198" s="28"/>
      <c r="P198" s="28"/>
      <c r="Q198" s="36"/>
      <c r="R198" s="36"/>
      <c r="S198" s="36"/>
      <c r="T198" s="36"/>
      <c r="U198" s="36"/>
      <c r="V198" s="36"/>
      <c r="W198" s="36"/>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c r="CC198" s="28"/>
      <c r="CD198" s="28"/>
      <c r="CE198" s="28"/>
      <c r="CF198" s="28"/>
      <c r="CG198" s="28"/>
    </row>
    <row r="199" spans="1:85" ht="12.75" x14ac:dyDescent="0.2">
      <c r="A199" s="28"/>
      <c r="B199" s="28"/>
      <c r="C199" s="28"/>
      <c r="D199" s="28"/>
      <c r="E199" s="28"/>
      <c r="F199" s="28"/>
      <c r="G199" s="28"/>
      <c r="H199" s="28"/>
      <c r="I199" s="28"/>
      <c r="J199" s="28"/>
      <c r="K199" s="36"/>
      <c r="L199" s="28"/>
      <c r="M199" s="28"/>
      <c r="N199" s="28"/>
      <c r="O199" s="28"/>
      <c r="P199" s="28"/>
      <c r="Q199" s="36"/>
      <c r="R199" s="36"/>
      <c r="S199" s="36"/>
      <c r="T199" s="36"/>
      <c r="U199" s="36"/>
      <c r="V199" s="36"/>
      <c r="W199" s="36"/>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c r="CC199" s="28"/>
      <c r="CD199" s="28"/>
      <c r="CE199" s="28"/>
      <c r="CF199" s="28"/>
      <c r="CG199" s="28"/>
    </row>
    <row r="200" spans="1:85" ht="12.75" x14ac:dyDescent="0.2">
      <c r="A200" s="28"/>
      <c r="B200" s="28"/>
      <c r="C200" s="28"/>
      <c r="D200" s="28"/>
      <c r="E200" s="28"/>
      <c r="F200" s="28"/>
      <c r="G200" s="28"/>
      <c r="H200" s="28"/>
      <c r="I200" s="28"/>
      <c r="J200" s="28"/>
      <c r="K200" s="36"/>
      <c r="L200" s="28"/>
      <c r="M200" s="28"/>
      <c r="N200" s="28"/>
      <c r="O200" s="28"/>
      <c r="P200" s="28"/>
      <c r="Q200" s="36"/>
      <c r="R200" s="36"/>
      <c r="S200" s="36"/>
      <c r="T200" s="36"/>
      <c r="U200" s="36"/>
      <c r="V200" s="36"/>
      <c r="W200" s="36"/>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c r="CC200" s="28"/>
      <c r="CD200" s="28"/>
      <c r="CE200" s="28"/>
      <c r="CF200" s="28"/>
      <c r="CG200" s="28"/>
    </row>
    <row r="201" spans="1:85" ht="12.75" x14ac:dyDescent="0.2">
      <c r="A201" s="28"/>
      <c r="B201" s="28"/>
      <c r="C201" s="28"/>
      <c r="D201" s="28"/>
      <c r="E201" s="28"/>
      <c r="F201" s="28"/>
      <c r="G201" s="28"/>
      <c r="H201" s="28"/>
      <c r="I201" s="28"/>
      <c r="J201" s="28"/>
      <c r="K201" s="36"/>
      <c r="L201" s="28"/>
      <c r="M201" s="28"/>
      <c r="N201" s="28"/>
      <c r="O201" s="28"/>
      <c r="P201" s="28"/>
      <c r="Q201" s="36"/>
      <c r="R201" s="36"/>
      <c r="S201" s="36"/>
      <c r="T201" s="36"/>
      <c r="U201" s="36"/>
      <c r="V201" s="36"/>
      <c r="W201" s="36"/>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row>
    <row r="202" spans="1:85" ht="12.75" x14ac:dyDescent="0.2">
      <c r="A202" s="28"/>
      <c r="B202" s="28"/>
      <c r="C202" s="28"/>
      <c r="D202" s="28"/>
      <c r="E202" s="28"/>
      <c r="F202" s="28"/>
      <c r="G202" s="28"/>
      <c r="H202" s="28"/>
      <c r="I202" s="28"/>
      <c r="J202" s="28"/>
      <c r="K202" s="36"/>
      <c r="L202" s="28"/>
      <c r="M202" s="28"/>
      <c r="N202" s="28"/>
      <c r="O202" s="28"/>
      <c r="P202" s="28"/>
      <c r="Q202" s="36"/>
      <c r="R202" s="36"/>
      <c r="S202" s="36"/>
      <c r="T202" s="36"/>
      <c r="U202" s="36"/>
      <c r="V202" s="36"/>
      <c r="W202" s="36"/>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c r="CC202" s="28"/>
      <c r="CD202" s="28"/>
      <c r="CE202" s="28"/>
      <c r="CF202" s="28"/>
      <c r="CG202" s="28"/>
    </row>
    <row r="203" spans="1:85" ht="12.75" x14ac:dyDescent="0.2">
      <c r="A203" s="28"/>
      <c r="B203" s="28"/>
      <c r="C203" s="28"/>
      <c r="D203" s="28"/>
      <c r="E203" s="28"/>
      <c r="F203" s="28"/>
      <c r="G203" s="28"/>
      <c r="H203" s="28"/>
      <c r="I203" s="28"/>
      <c r="J203" s="28"/>
      <c r="K203" s="36"/>
      <c r="L203" s="28"/>
      <c r="M203" s="28"/>
      <c r="N203" s="28"/>
      <c r="O203" s="28"/>
      <c r="P203" s="28"/>
      <c r="Q203" s="36"/>
      <c r="R203" s="36"/>
      <c r="S203" s="36"/>
      <c r="T203" s="36"/>
      <c r="U203" s="36"/>
      <c r="V203" s="36"/>
      <c r="W203" s="36"/>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8"/>
      <c r="CF203" s="28"/>
      <c r="CG203" s="28"/>
    </row>
    <row r="204" spans="1:85" ht="12.75" x14ac:dyDescent="0.2">
      <c r="A204" s="28"/>
      <c r="B204" s="28"/>
      <c r="C204" s="28"/>
      <c r="D204" s="28"/>
      <c r="E204" s="28"/>
      <c r="F204" s="28"/>
      <c r="G204" s="28"/>
      <c r="H204" s="28"/>
      <c r="I204" s="28"/>
      <c r="J204" s="28"/>
      <c r="K204" s="36"/>
      <c r="L204" s="28"/>
      <c r="M204" s="28"/>
      <c r="N204" s="28"/>
      <c r="O204" s="28"/>
      <c r="P204" s="28"/>
      <c r="Q204" s="36"/>
      <c r="R204" s="36"/>
      <c r="S204" s="36"/>
      <c r="T204" s="36"/>
      <c r="U204" s="36"/>
      <c r="V204" s="36"/>
      <c r="W204" s="36"/>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c r="CC204" s="28"/>
      <c r="CD204" s="28"/>
      <c r="CE204" s="28"/>
      <c r="CF204" s="28"/>
      <c r="CG204" s="28"/>
    </row>
    <row r="205" spans="1:85" ht="12.75" x14ac:dyDescent="0.2">
      <c r="A205" s="28"/>
      <c r="B205" s="28"/>
      <c r="C205" s="28"/>
      <c r="D205" s="28"/>
      <c r="E205" s="28"/>
      <c r="F205" s="28"/>
      <c r="G205" s="28"/>
      <c r="H205" s="28"/>
      <c r="I205" s="28"/>
      <c r="J205" s="28"/>
      <c r="K205" s="36"/>
      <c r="L205" s="28"/>
      <c r="M205" s="28"/>
      <c r="N205" s="28"/>
      <c r="O205" s="28"/>
      <c r="P205" s="28"/>
      <c r="Q205" s="36"/>
      <c r="R205" s="36"/>
      <c r="S205" s="36"/>
      <c r="T205" s="36"/>
      <c r="U205" s="36"/>
      <c r="V205" s="36"/>
      <c r="W205" s="36"/>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8"/>
      <c r="CF205" s="28"/>
      <c r="CG205" s="28"/>
    </row>
    <row r="206" spans="1:85" ht="12.75" x14ac:dyDescent="0.2">
      <c r="A206" s="28"/>
      <c r="B206" s="28"/>
      <c r="C206" s="28"/>
      <c r="D206" s="28"/>
      <c r="E206" s="28"/>
      <c r="F206" s="28"/>
      <c r="G206" s="28"/>
      <c r="H206" s="28"/>
      <c r="I206" s="28"/>
      <c r="J206" s="28"/>
      <c r="K206" s="36"/>
      <c r="L206" s="28"/>
      <c r="M206" s="28"/>
      <c r="N206" s="28"/>
      <c r="O206" s="28"/>
      <c r="P206" s="28"/>
      <c r="Q206" s="36"/>
      <c r="R206" s="36"/>
      <c r="S206" s="36"/>
      <c r="T206" s="36"/>
      <c r="U206" s="36"/>
      <c r="V206" s="36"/>
      <c r="W206" s="36"/>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c r="CC206" s="28"/>
      <c r="CD206" s="28"/>
      <c r="CE206" s="28"/>
      <c r="CF206" s="28"/>
      <c r="CG206" s="28"/>
    </row>
    <row r="207" spans="1:85" ht="12.75" x14ac:dyDescent="0.2">
      <c r="A207" s="28"/>
      <c r="B207" s="28"/>
      <c r="C207" s="28"/>
      <c r="D207" s="28"/>
      <c r="E207" s="28"/>
      <c r="F207" s="28"/>
      <c r="G207" s="28"/>
      <c r="H207" s="28"/>
      <c r="I207" s="28"/>
      <c r="J207" s="28"/>
      <c r="K207" s="36"/>
      <c r="L207" s="28"/>
      <c r="M207" s="28"/>
      <c r="N207" s="28"/>
      <c r="O207" s="28"/>
      <c r="P207" s="28"/>
      <c r="Q207" s="36"/>
      <c r="R207" s="36"/>
      <c r="S207" s="36"/>
      <c r="T207" s="36"/>
      <c r="U207" s="36"/>
      <c r="V207" s="36"/>
      <c r="W207" s="36"/>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c r="CC207" s="28"/>
      <c r="CD207" s="28"/>
      <c r="CE207" s="28"/>
      <c r="CF207" s="28"/>
      <c r="CG207" s="28"/>
    </row>
    <row r="208" spans="1:85" ht="12.75" x14ac:dyDescent="0.2">
      <c r="A208" s="28"/>
      <c r="B208" s="28"/>
      <c r="C208" s="28"/>
      <c r="D208" s="28"/>
      <c r="E208" s="28"/>
      <c r="F208" s="28"/>
      <c r="G208" s="28"/>
      <c r="H208" s="28"/>
      <c r="I208" s="28"/>
      <c r="J208" s="28"/>
      <c r="K208" s="36"/>
      <c r="L208" s="28"/>
      <c r="M208" s="28"/>
      <c r="N208" s="28"/>
      <c r="O208" s="28"/>
      <c r="P208" s="28"/>
      <c r="Q208" s="36"/>
      <c r="R208" s="36"/>
      <c r="S208" s="36"/>
      <c r="T208" s="36"/>
      <c r="U208" s="36"/>
      <c r="V208" s="36"/>
      <c r="W208" s="36"/>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c r="CC208" s="28"/>
      <c r="CD208" s="28"/>
      <c r="CE208" s="28"/>
      <c r="CF208" s="28"/>
      <c r="CG208" s="28"/>
    </row>
    <row r="209" spans="1:85" ht="12.75" x14ac:dyDescent="0.2">
      <c r="A209" s="28"/>
      <c r="B209" s="28"/>
      <c r="C209" s="28"/>
      <c r="D209" s="28"/>
      <c r="E209" s="28"/>
      <c r="F209" s="28"/>
      <c r="G209" s="28"/>
      <c r="H209" s="28"/>
      <c r="I209" s="28"/>
      <c r="J209" s="28"/>
      <c r="K209" s="36"/>
      <c r="L209" s="28"/>
      <c r="M209" s="28"/>
      <c r="N209" s="28"/>
      <c r="O209" s="28"/>
      <c r="P209" s="28"/>
      <c r="Q209" s="36"/>
      <c r="R209" s="36"/>
      <c r="S209" s="36"/>
      <c r="T209" s="36"/>
      <c r="U209" s="36"/>
      <c r="V209" s="36"/>
      <c r="W209" s="36"/>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row>
    <row r="210" spans="1:85" ht="12.75" x14ac:dyDescent="0.2">
      <c r="A210" s="28"/>
      <c r="B210" s="28"/>
      <c r="C210" s="28"/>
      <c r="D210" s="28"/>
      <c r="E210" s="28"/>
      <c r="F210" s="28"/>
      <c r="G210" s="28"/>
      <c r="H210" s="28"/>
      <c r="I210" s="28"/>
      <c r="J210" s="28"/>
      <c r="K210" s="36"/>
      <c r="L210" s="28"/>
      <c r="M210" s="28"/>
      <c r="N210" s="28"/>
      <c r="O210" s="28"/>
      <c r="P210" s="28"/>
      <c r="Q210" s="36"/>
      <c r="R210" s="36"/>
      <c r="S210" s="36"/>
      <c r="T210" s="36"/>
      <c r="U210" s="36"/>
      <c r="V210" s="36"/>
      <c r="W210" s="36"/>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row>
    <row r="211" spans="1:85" ht="12.75" x14ac:dyDescent="0.2">
      <c r="A211" s="28"/>
      <c r="B211" s="28"/>
      <c r="C211" s="28"/>
      <c r="D211" s="28"/>
      <c r="E211" s="28"/>
      <c r="F211" s="28"/>
      <c r="G211" s="28"/>
      <c r="H211" s="28"/>
      <c r="I211" s="28"/>
      <c r="J211" s="28"/>
      <c r="K211" s="36"/>
      <c r="L211" s="28"/>
      <c r="M211" s="28"/>
      <c r="N211" s="28"/>
      <c r="O211" s="28"/>
      <c r="P211" s="28"/>
      <c r="Q211" s="36"/>
      <c r="R211" s="36"/>
      <c r="S211" s="36"/>
      <c r="T211" s="36"/>
      <c r="U211" s="36"/>
      <c r="V211" s="36"/>
      <c r="W211" s="36"/>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c r="CC211" s="28"/>
      <c r="CD211" s="28"/>
      <c r="CE211" s="28"/>
      <c r="CF211" s="28"/>
      <c r="CG211" s="28"/>
    </row>
    <row r="212" spans="1:85" ht="12.75" x14ac:dyDescent="0.2">
      <c r="A212" s="28"/>
      <c r="B212" s="28"/>
      <c r="C212" s="28"/>
      <c r="D212" s="28"/>
      <c r="E212" s="28"/>
      <c r="F212" s="28"/>
      <c r="G212" s="28"/>
      <c r="H212" s="28"/>
      <c r="I212" s="28"/>
      <c r="J212" s="28"/>
      <c r="K212" s="36"/>
      <c r="L212" s="28"/>
      <c r="M212" s="28"/>
      <c r="N212" s="28"/>
      <c r="O212" s="28"/>
      <c r="P212" s="28"/>
      <c r="Q212" s="36"/>
      <c r="R212" s="36"/>
      <c r="S212" s="36"/>
      <c r="T212" s="36"/>
      <c r="U212" s="36"/>
      <c r="V212" s="36"/>
      <c r="W212" s="36"/>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row>
    <row r="213" spans="1:85" ht="12.75" x14ac:dyDescent="0.2">
      <c r="A213" s="28"/>
      <c r="B213" s="28"/>
      <c r="C213" s="28"/>
      <c r="D213" s="28"/>
      <c r="E213" s="28"/>
      <c r="F213" s="28"/>
      <c r="G213" s="28"/>
      <c r="H213" s="28"/>
      <c r="I213" s="28"/>
      <c r="J213" s="28"/>
      <c r="K213" s="36"/>
      <c r="L213" s="28"/>
      <c r="M213" s="28"/>
      <c r="N213" s="28"/>
      <c r="O213" s="28"/>
      <c r="P213" s="28"/>
      <c r="Q213" s="36"/>
      <c r="R213" s="36"/>
      <c r="S213" s="36"/>
      <c r="T213" s="36"/>
      <c r="U213" s="36"/>
      <c r="V213" s="36"/>
      <c r="W213" s="36"/>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row>
    <row r="214" spans="1:85" ht="12.75" x14ac:dyDescent="0.2">
      <c r="A214" s="28"/>
      <c r="B214" s="28"/>
      <c r="C214" s="28"/>
      <c r="D214" s="28"/>
      <c r="E214" s="28"/>
      <c r="F214" s="28"/>
      <c r="G214" s="28"/>
      <c r="H214" s="28"/>
      <c r="I214" s="28"/>
      <c r="J214" s="28"/>
      <c r="K214" s="36"/>
      <c r="L214" s="28"/>
      <c r="M214" s="28"/>
      <c r="N214" s="28"/>
      <c r="O214" s="28"/>
      <c r="P214" s="28"/>
      <c r="Q214" s="36"/>
      <c r="R214" s="36"/>
      <c r="S214" s="36"/>
      <c r="T214" s="36"/>
      <c r="U214" s="36"/>
      <c r="V214" s="36"/>
      <c r="W214" s="36"/>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c r="CC214" s="28"/>
      <c r="CD214" s="28"/>
      <c r="CE214" s="28"/>
      <c r="CF214" s="28"/>
      <c r="CG214" s="28"/>
    </row>
    <row r="215" spans="1:85" ht="12.75" x14ac:dyDescent="0.2">
      <c r="A215" s="28"/>
      <c r="B215" s="28"/>
      <c r="C215" s="28"/>
      <c r="D215" s="28"/>
      <c r="E215" s="28"/>
      <c r="F215" s="28"/>
      <c r="G215" s="28"/>
      <c r="H215" s="28"/>
      <c r="I215" s="28"/>
      <c r="J215" s="28"/>
      <c r="K215" s="36"/>
      <c r="L215" s="28"/>
      <c r="M215" s="28"/>
      <c r="N215" s="28"/>
      <c r="O215" s="28"/>
      <c r="P215" s="28"/>
      <c r="Q215" s="36"/>
      <c r="R215" s="36"/>
      <c r="S215" s="36"/>
      <c r="T215" s="36"/>
      <c r="U215" s="36"/>
      <c r="V215" s="36"/>
      <c r="W215" s="36"/>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c r="CC215" s="28"/>
      <c r="CD215" s="28"/>
      <c r="CE215" s="28"/>
      <c r="CF215" s="28"/>
      <c r="CG215" s="28"/>
    </row>
    <row r="216" spans="1:85" ht="12.75" x14ac:dyDescent="0.2">
      <c r="A216" s="28"/>
      <c r="B216" s="28"/>
      <c r="C216" s="28"/>
      <c r="D216" s="28"/>
      <c r="E216" s="28"/>
      <c r="F216" s="28"/>
      <c r="G216" s="28"/>
      <c r="H216" s="28"/>
      <c r="I216" s="28"/>
      <c r="J216" s="28"/>
      <c r="K216" s="36"/>
      <c r="L216" s="28"/>
      <c r="M216" s="28"/>
      <c r="N216" s="28"/>
      <c r="O216" s="28"/>
      <c r="P216" s="28"/>
      <c r="Q216" s="36"/>
      <c r="R216" s="36"/>
      <c r="S216" s="36"/>
      <c r="T216" s="36"/>
      <c r="U216" s="36"/>
      <c r="V216" s="36"/>
      <c r="W216" s="36"/>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c r="CC216" s="28"/>
      <c r="CD216" s="28"/>
      <c r="CE216" s="28"/>
      <c r="CF216" s="28"/>
      <c r="CG216" s="28"/>
    </row>
    <row r="217" spans="1:85" ht="12.75" x14ac:dyDescent="0.2">
      <c r="A217" s="28"/>
      <c r="B217" s="28"/>
      <c r="C217" s="28"/>
      <c r="D217" s="28"/>
      <c r="E217" s="28"/>
      <c r="F217" s="28"/>
      <c r="G217" s="28"/>
      <c r="H217" s="28"/>
      <c r="I217" s="28"/>
      <c r="J217" s="28"/>
      <c r="K217" s="36"/>
      <c r="L217" s="28"/>
      <c r="M217" s="28"/>
      <c r="N217" s="28"/>
      <c r="O217" s="28"/>
      <c r="P217" s="28"/>
      <c r="Q217" s="36"/>
      <c r="R217" s="36"/>
      <c r="S217" s="36"/>
      <c r="T217" s="36"/>
      <c r="U217" s="36"/>
      <c r="V217" s="36"/>
      <c r="W217" s="36"/>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c r="CC217" s="28"/>
      <c r="CD217" s="28"/>
      <c r="CE217" s="28"/>
      <c r="CF217" s="28"/>
      <c r="CG217" s="28"/>
    </row>
    <row r="218" spans="1:85" ht="12.75" x14ac:dyDescent="0.2">
      <c r="A218" s="28"/>
      <c r="B218" s="28"/>
      <c r="C218" s="28"/>
      <c r="D218" s="28"/>
      <c r="E218" s="28"/>
      <c r="F218" s="28"/>
      <c r="G218" s="28"/>
      <c r="H218" s="28"/>
      <c r="I218" s="28"/>
      <c r="J218" s="28"/>
      <c r="K218" s="36"/>
      <c r="L218" s="28"/>
      <c r="M218" s="28"/>
      <c r="N218" s="28"/>
      <c r="O218" s="28"/>
      <c r="P218" s="28"/>
      <c r="Q218" s="36"/>
      <c r="R218" s="36"/>
      <c r="S218" s="36"/>
      <c r="T218" s="36"/>
      <c r="U218" s="36"/>
      <c r="V218" s="36"/>
      <c r="W218" s="36"/>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c r="CC218" s="28"/>
      <c r="CD218" s="28"/>
      <c r="CE218" s="28"/>
      <c r="CF218" s="28"/>
      <c r="CG218" s="28"/>
    </row>
    <row r="219" spans="1:85" ht="12.75" x14ac:dyDescent="0.2">
      <c r="A219" s="28"/>
      <c r="B219" s="28"/>
      <c r="C219" s="28"/>
      <c r="D219" s="28"/>
      <c r="E219" s="28"/>
      <c r="F219" s="28"/>
      <c r="G219" s="28"/>
      <c r="H219" s="28"/>
      <c r="I219" s="28"/>
      <c r="J219" s="28"/>
      <c r="K219" s="36"/>
      <c r="L219" s="28"/>
      <c r="M219" s="28"/>
      <c r="N219" s="28"/>
      <c r="O219" s="28"/>
      <c r="P219" s="28"/>
      <c r="Q219" s="36"/>
      <c r="R219" s="36"/>
      <c r="S219" s="36"/>
      <c r="T219" s="36"/>
      <c r="U219" s="36"/>
      <c r="V219" s="36"/>
      <c r="W219" s="36"/>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c r="CC219" s="28"/>
      <c r="CD219" s="28"/>
      <c r="CE219" s="28"/>
      <c r="CF219" s="28"/>
      <c r="CG219" s="28"/>
    </row>
    <row r="220" spans="1:85" ht="12.75" x14ac:dyDescent="0.2">
      <c r="A220" s="28"/>
      <c r="B220" s="28"/>
      <c r="C220" s="28"/>
      <c r="D220" s="28"/>
      <c r="E220" s="28"/>
      <c r="F220" s="28"/>
      <c r="G220" s="28"/>
      <c r="H220" s="28"/>
      <c r="I220" s="28"/>
      <c r="J220" s="28"/>
      <c r="K220" s="36"/>
      <c r="L220" s="28"/>
      <c r="M220" s="28"/>
      <c r="N220" s="28"/>
      <c r="O220" s="28"/>
      <c r="P220" s="28"/>
      <c r="Q220" s="36"/>
      <c r="R220" s="36"/>
      <c r="S220" s="36"/>
      <c r="T220" s="36"/>
      <c r="U220" s="36"/>
      <c r="V220" s="36"/>
      <c r="W220" s="36"/>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c r="CC220" s="28"/>
      <c r="CD220" s="28"/>
      <c r="CE220" s="28"/>
      <c r="CF220" s="28"/>
      <c r="CG220" s="28"/>
    </row>
    <row r="221" spans="1:85" ht="12.75" x14ac:dyDescent="0.2">
      <c r="A221" s="28"/>
      <c r="B221" s="28"/>
      <c r="C221" s="28"/>
      <c r="D221" s="28"/>
      <c r="E221" s="28"/>
      <c r="F221" s="28"/>
      <c r="G221" s="28"/>
      <c r="H221" s="28"/>
      <c r="I221" s="28"/>
      <c r="J221" s="28"/>
      <c r="K221" s="36"/>
      <c r="L221" s="28"/>
      <c r="M221" s="28"/>
      <c r="N221" s="28"/>
      <c r="O221" s="28"/>
      <c r="P221" s="28"/>
      <c r="Q221" s="36"/>
      <c r="R221" s="36"/>
      <c r="S221" s="36"/>
      <c r="T221" s="36"/>
      <c r="U221" s="36"/>
      <c r="V221" s="36"/>
      <c r="W221" s="36"/>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c r="CC221" s="28"/>
      <c r="CD221" s="28"/>
      <c r="CE221" s="28"/>
      <c r="CF221" s="28"/>
      <c r="CG221" s="28"/>
    </row>
    <row r="222" spans="1:85" ht="12.75" x14ac:dyDescent="0.2">
      <c r="A222" s="28"/>
      <c r="B222" s="28"/>
      <c r="C222" s="28"/>
      <c r="D222" s="28"/>
      <c r="E222" s="28"/>
      <c r="F222" s="28"/>
      <c r="G222" s="28"/>
      <c r="H222" s="28"/>
      <c r="I222" s="28"/>
      <c r="J222" s="28"/>
      <c r="K222" s="36"/>
      <c r="L222" s="28"/>
      <c r="M222" s="28"/>
      <c r="N222" s="28"/>
      <c r="O222" s="28"/>
      <c r="P222" s="28"/>
      <c r="Q222" s="36"/>
      <c r="R222" s="36"/>
      <c r="S222" s="36"/>
      <c r="T222" s="36"/>
      <c r="U222" s="36"/>
      <c r="V222" s="36"/>
      <c r="W222" s="36"/>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c r="CC222" s="28"/>
      <c r="CD222" s="28"/>
      <c r="CE222" s="28"/>
      <c r="CF222" s="28"/>
      <c r="CG222" s="28"/>
    </row>
    <row r="223" spans="1:85" ht="12.75" x14ac:dyDescent="0.2">
      <c r="A223" s="28"/>
      <c r="B223" s="28"/>
      <c r="C223" s="28"/>
      <c r="D223" s="28"/>
      <c r="E223" s="28"/>
      <c r="F223" s="28"/>
      <c r="G223" s="28"/>
      <c r="H223" s="28"/>
      <c r="I223" s="28"/>
      <c r="J223" s="28"/>
      <c r="K223" s="36"/>
      <c r="L223" s="28"/>
      <c r="M223" s="28"/>
      <c r="N223" s="28"/>
      <c r="O223" s="28"/>
      <c r="P223" s="28"/>
      <c r="Q223" s="36"/>
      <c r="R223" s="36"/>
      <c r="S223" s="36"/>
      <c r="T223" s="36"/>
      <c r="U223" s="36"/>
      <c r="V223" s="36"/>
      <c r="W223" s="36"/>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c r="CC223" s="28"/>
      <c r="CD223" s="28"/>
      <c r="CE223" s="28"/>
      <c r="CF223" s="28"/>
      <c r="CG223" s="28"/>
    </row>
    <row r="224" spans="1:85" ht="12.75" x14ac:dyDescent="0.2">
      <c r="A224" s="28"/>
      <c r="B224" s="28"/>
      <c r="C224" s="28"/>
      <c r="D224" s="28"/>
      <c r="E224" s="28"/>
      <c r="F224" s="28"/>
      <c r="G224" s="28"/>
      <c r="H224" s="28"/>
      <c r="I224" s="28"/>
      <c r="J224" s="28"/>
      <c r="K224" s="36"/>
      <c r="L224" s="28"/>
      <c r="M224" s="28"/>
      <c r="N224" s="28"/>
      <c r="O224" s="28"/>
      <c r="P224" s="28"/>
      <c r="Q224" s="36"/>
      <c r="R224" s="36"/>
      <c r="S224" s="36"/>
      <c r="T224" s="36"/>
      <c r="U224" s="36"/>
      <c r="V224" s="36"/>
      <c r="W224" s="36"/>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c r="CC224" s="28"/>
      <c r="CD224" s="28"/>
      <c r="CE224" s="28"/>
      <c r="CF224" s="28"/>
      <c r="CG224" s="28"/>
    </row>
    <row r="225" spans="1:85" ht="12.75" x14ac:dyDescent="0.2">
      <c r="A225" s="28"/>
      <c r="B225" s="28"/>
      <c r="C225" s="28"/>
      <c r="D225" s="28"/>
      <c r="E225" s="28"/>
      <c r="F225" s="28"/>
      <c r="G225" s="28"/>
      <c r="H225" s="28"/>
      <c r="I225" s="28"/>
      <c r="J225" s="28"/>
      <c r="K225" s="36"/>
      <c r="L225" s="28"/>
      <c r="M225" s="28"/>
      <c r="N225" s="28"/>
      <c r="O225" s="28"/>
      <c r="P225" s="28"/>
      <c r="Q225" s="36"/>
      <c r="R225" s="36"/>
      <c r="S225" s="36"/>
      <c r="T225" s="36"/>
      <c r="U225" s="36"/>
      <c r="V225" s="36"/>
      <c r="W225" s="36"/>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c r="CC225" s="28"/>
      <c r="CD225" s="28"/>
      <c r="CE225" s="28"/>
      <c r="CF225" s="28"/>
      <c r="CG225" s="28"/>
    </row>
    <row r="226" spans="1:85" ht="12.75" x14ac:dyDescent="0.2">
      <c r="A226" s="28"/>
      <c r="B226" s="28"/>
      <c r="C226" s="28"/>
      <c r="D226" s="28"/>
      <c r="E226" s="28"/>
      <c r="F226" s="28"/>
      <c r="G226" s="28"/>
      <c r="H226" s="28"/>
      <c r="I226" s="28"/>
      <c r="J226" s="28"/>
      <c r="K226" s="36"/>
      <c r="L226" s="28"/>
      <c r="M226" s="28"/>
      <c r="N226" s="28"/>
      <c r="O226" s="28"/>
      <c r="P226" s="28"/>
      <c r="Q226" s="36"/>
      <c r="R226" s="36"/>
      <c r="S226" s="36"/>
      <c r="T226" s="36"/>
      <c r="U226" s="36"/>
      <c r="V226" s="36"/>
      <c r="W226" s="36"/>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c r="CC226" s="28"/>
      <c r="CD226" s="28"/>
      <c r="CE226" s="28"/>
      <c r="CF226" s="28"/>
      <c r="CG226" s="28"/>
    </row>
    <row r="227" spans="1:85" ht="12.75" x14ac:dyDescent="0.2">
      <c r="A227" s="28"/>
      <c r="B227" s="28"/>
      <c r="C227" s="28"/>
      <c r="D227" s="28"/>
      <c r="E227" s="28"/>
      <c r="F227" s="28"/>
      <c r="G227" s="28"/>
      <c r="H227" s="28"/>
      <c r="I227" s="28"/>
      <c r="J227" s="28"/>
      <c r="K227" s="36"/>
      <c r="L227" s="28"/>
      <c r="M227" s="28"/>
      <c r="N227" s="28"/>
      <c r="O227" s="28"/>
      <c r="P227" s="28"/>
      <c r="Q227" s="36"/>
      <c r="R227" s="36"/>
      <c r="S227" s="36"/>
      <c r="T227" s="36"/>
      <c r="U227" s="36"/>
      <c r="V227" s="36"/>
      <c r="W227" s="36"/>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c r="CC227" s="28"/>
      <c r="CD227" s="28"/>
      <c r="CE227" s="28"/>
      <c r="CF227" s="28"/>
      <c r="CG227" s="28"/>
    </row>
    <row r="228" spans="1:85" ht="12.75" x14ac:dyDescent="0.2">
      <c r="A228" s="28"/>
      <c r="B228" s="28"/>
      <c r="C228" s="28"/>
      <c r="D228" s="28"/>
      <c r="E228" s="28"/>
      <c r="F228" s="28"/>
      <c r="G228" s="28"/>
      <c r="H228" s="28"/>
      <c r="I228" s="28"/>
      <c r="J228" s="28"/>
      <c r="K228" s="36"/>
      <c r="L228" s="28"/>
      <c r="M228" s="28"/>
      <c r="N228" s="28"/>
      <c r="O228" s="28"/>
      <c r="P228" s="28"/>
      <c r="Q228" s="36"/>
      <c r="R228" s="36"/>
      <c r="S228" s="36"/>
      <c r="T228" s="36"/>
      <c r="U228" s="36"/>
      <c r="V228" s="36"/>
      <c r="W228" s="36"/>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c r="CC228" s="28"/>
      <c r="CD228" s="28"/>
      <c r="CE228" s="28"/>
      <c r="CF228" s="28"/>
      <c r="CG228" s="28"/>
    </row>
    <row r="229" spans="1:85" ht="12.75" x14ac:dyDescent="0.2">
      <c r="A229" s="28"/>
      <c r="B229" s="28"/>
      <c r="C229" s="28"/>
      <c r="D229" s="28"/>
      <c r="E229" s="28"/>
      <c r="F229" s="28"/>
      <c r="G229" s="28"/>
      <c r="H229" s="28"/>
      <c r="I229" s="28"/>
      <c r="J229" s="28"/>
      <c r="K229" s="36"/>
      <c r="L229" s="28"/>
      <c r="M229" s="28"/>
      <c r="N229" s="28"/>
      <c r="O229" s="28"/>
      <c r="P229" s="28"/>
      <c r="Q229" s="36"/>
      <c r="R229" s="36"/>
      <c r="S229" s="36"/>
      <c r="T229" s="36"/>
      <c r="U229" s="36"/>
      <c r="V229" s="36"/>
      <c r="W229" s="36"/>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c r="CC229" s="28"/>
      <c r="CD229" s="28"/>
      <c r="CE229" s="28"/>
      <c r="CF229" s="28"/>
      <c r="CG229" s="28"/>
    </row>
    <row r="230" spans="1:85" ht="12.75" x14ac:dyDescent="0.2">
      <c r="A230" s="28"/>
      <c r="B230" s="28"/>
      <c r="C230" s="28"/>
      <c r="D230" s="28"/>
      <c r="E230" s="28"/>
      <c r="F230" s="28"/>
      <c r="G230" s="28"/>
      <c r="H230" s="28"/>
      <c r="I230" s="28"/>
      <c r="J230" s="28"/>
      <c r="K230" s="36"/>
      <c r="L230" s="28"/>
      <c r="M230" s="28"/>
      <c r="N230" s="28"/>
      <c r="O230" s="28"/>
      <c r="P230" s="28"/>
      <c r="Q230" s="36"/>
      <c r="R230" s="36"/>
      <c r="S230" s="36"/>
      <c r="T230" s="36"/>
      <c r="U230" s="36"/>
      <c r="V230" s="36"/>
      <c r="W230" s="36"/>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c r="CC230" s="28"/>
      <c r="CD230" s="28"/>
      <c r="CE230" s="28"/>
      <c r="CF230" s="28"/>
      <c r="CG230" s="28"/>
    </row>
    <row r="231" spans="1:85" ht="12.75" x14ac:dyDescent="0.2">
      <c r="A231" s="28"/>
      <c r="B231" s="28"/>
      <c r="C231" s="28"/>
      <c r="D231" s="28"/>
      <c r="E231" s="28"/>
      <c r="F231" s="28"/>
      <c r="G231" s="28"/>
      <c r="H231" s="28"/>
      <c r="I231" s="28"/>
      <c r="J231" s="28"/>
      <c r="K231" s="36"/>
      <c r="L231" s="28"/>
      <c r="M231" s="28"/>
      <c r="N231" s="28"/>
      <c r="O231" s="28"/>
      <c r="P231" s="28"/>
      <c r="Q231" s="36"/>
      <c r="R231" s="36"/>
      <c r="S231" s="36"/>
      <c r="T231" s="36"/>
      <c r="U231" s="36"/>
      <c r="V231" s="36"/>
      <c r="W231" s="36"/>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c r="CC231" s="28"/>
      <c r="CD231" s="28"/>
      <c r="CE231" s="28"/>
      <c r="CF231" s="28"/>
      <c r="CG231" s="28"/>
    </row>
    <row r="232" spans="1:85" ht="12.75" x14ac:dyDescent="0.2">
      <c r="A232" s="28"/>
      <c r="B232" s="28"/>
      <c r="C232" s="28"/>
      <c r="D232" s="28"/>
      <c r="E232" s="28"/>
      <c r="F232" s="28"/>
      <c r="G232" s="28"/>
      <c r="H232" s="28"/>
      <c r="I232" s="28"/>
      <c r="J232" s="28"/>
      <c r="K232" s="36"/>
      <c r="L232" s="28"/>
      <c r="M232" s="28"/>
      <c r="N232" s="28"/>
      <c r="O232" s="28"/>
      <c r="P232" s="28"/>
      <c r="Q232" s="36"/>
      <c r="R232" s="36"/>
      <c r="S232" s="36"/>
      <c r="T232" s="36"/>
      <c r="U232" s="36"/>
      <c r="V232" s="36"/>
      <c r="W232" s="36"/>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c r="CC232" s="28"/>
      <c r="CD232" s="28"/>
      <c r="CE232" s="28"/>
      <c r="CF232" s="28"/>
      <c r="CG232" s="28"/>
    </row>
    <row r="233" spans="1:85" ht="12.75" x14ac:dyDescent="0.2">
      <c r="A233" s="28"/>
      <c r="B233" s="28"/>
      <c r="C233" s="28"/>
      <c r="D233" s="28"/>
      <c r="E233" s="28"/>
      <c r="F233" s="28"/>
      <c r="G233" s="28"/>
      <c r="H233" s="28"/>
      <c r="I233" s="28"/>
      <c r="J233" s="28"/>
      <c r="K233" s="36"/>
      <c r="L233" s="28"/>
      <c r="M233" s="28"/>
      <c r="N233" s="28"/>
      <c r="O233" s="28"/>
      <c r="P233" s="28"/>
      <c r="Q233" s="36"/>
      <c r="R233" s="36"/>
      <c r="S233" s="36"/>
      <c r="T233" s="36"/>
      <c r="U233" s="36"/>
      <c r="V233" s="36"/>
      <c r="W233" s="36"/>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c r="CC233" s="28"/>
      <c r="CD233" s="28"/>
      <c r="CE233" s="28"/>
      <c r="CF233" s="28"/>
      <c r="CG233" s="28"/>
    </row>
    <row r="234" spans="1:85" ht="12.75" x14ac:dyDescent="0.2">
      <c r="A234" s="28"/>
      <c r="B234" s="28"/>
      <c r="C234" s="28"/>
      <c r="D234" s="28"/>
      <c r="E234" s="28"/>
      <c r="F234" s="28"/>
      <c r="G234" s="28"/>
      <c r="H234" s="28"/>
      <c r="I234" s="28"/>
      <c r="J234" s="28"/>
      <c r="K234" s="36"/>
      <c r="L234" s="28"/>
      <c r="M234" s="28"/>
      <c r="N234" s="28"/>
      <c r="O234" s="28"/>
      <c r="P234" s="28"/>
      <c r="Q234" s="36"/>
      <c r="R234" s="36"/>
      <c r="S234" s="36"/>
      <c r="T234" s="36"/>
      <c r="U234" s="36"/>
      <c r="V234" s="36"/>
      <c r="W234" s="36"/>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c r="CC234" s="28"/>
      <c r="CD234" s="28"/>
      <c r="CE234" s="28"/>
      <c r="CF234" s="28"/>
      <c r="CG234" s="28"/>
    </row>
    <row r="235" spans="1:85" ht="12.75" x14ac:dyDescent="0.2">
      <c r="A235" s="28"/>
      <c r="B235" s="28"/>
      <c r="C235" s="28"/>
      <c r="D235" s="28"/>
      <c r="E235" s="28"/>
      <c r="F235" s="28"/>
      <c r="G235" s="28"/>
      <c r="H235" s="28"/>
      <c r="I235" s="28"/>
      <c r="J235" s="28"/>
      <c r="K235" s="36"/>
      <c r="L235" s="28"/>
      <c r="M235" s="28"/>
      <c r="N235" s="28"/>
      <c r="O235" s="28"/>
      <c r="P235" s="28"/>
      <c r="Q235" s="36"/>
      <c r="R235" s="36"/>
      <c r="S235" s="36"/>
      <c r="T235" s="36"/>
      <c r="U235" s="36"/>
      <c r="V235" s="36"/>
      <c r="W235" s="36"/>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c r="CC235" s="28"/>
      <c r="CD235" s="28"/>
      <c r="CE235" s="28"/>
      <c r="CF235" s="28"/>
      <c r="CG235" s="28"/>
    </row>
    <row r="236" spans="1:85" ht="12.75" x14ac:dyDescent="0.2">
      <c r="A236" s="28"/>
      <c r="B236" s="28"/>
      <c r="C236" s="28"/>
      <c r="D236" s="28"/>
      <c r="E236" s="28"/>
      <c r="F236" s="28"/>
      <c r="G236" s="28"/>
      <c r="H236" s="28"/>
      <c r="I236" s="28"/>
      <c r="J236" s="28"/>
      <c r="K236" s="36"/>
      <c r="L236" s="28"/>
      <c r="M236" s="28"/>
      <c r="N236" s="28"/>
      <c r="O236" s="28"/>
      <c r="P236" s="28"/>
      <c r="Q236" s="36"/>
      <c r="R236" s="36"/>
      <c r="S236" s="36"/>
      <c r="T236" s="36"/>
      <c r="U236" s="36"/>
      <c r="V236" s="36"/>
      <c r="W236" s="36"/>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c r="CC236" s="28"/>
      <c r="CD236" s="28"/>
      <c r="CE236" s="28"/>
      <c r="CF236" s="28"/>
      <c r="CG236" s="28"/>
    </row>
    <row r="237" spans="1:85" ht="12.75" x14ac:dyDescent="0.2">
      <c r="A237" s="28"/>
      <c r="B237" s="28"/>
      <c r="C237" s="28"/>
      <c r="D237" s="28"/>
      <c r="E237" s="28"/>
      <c r="F237" s="28"/>
      <c r="G237" s="28"/>
      <c r="H237" s="28"/>
      <c r="I237" s="28"/>
      <c r="J237" s="28"/>
      <c r="K237" s="36"/>
      <c r="L237" s="28"/>
      <c r="M237" s="28"/>
      <c r="N237" s="28"/>
      <c r="O237" s="28"/>
      <c r="P237" s="28"/>
      <c r="Q237" s="36"/>
      <c r="R237" s="36"/>
      <c r="S237" s="36"/>
      <c r="T237" s="36"/>
      <c r="U237" s="36"/>
      <c r="V237" s="36"/>
      <c r="W237" s="36"/>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c r="CC237" s="28"/>
      <c r="CD237" s="28"/>
      <c r="CE237" s="28"/>
      <c r="CF237" s="28"/>
      <c r="CG237" s="28"/>
    </row>
    <row r="238" spans="1:85" ht="12.75" x14ac:dyDescent="0.2">
      <c r="A238" s="28"/>
      <c r="B238" s="28"/>
      <c r="C238" s="28"/>
      <c r="D238" s="28"/>
      <c r="E238" s="28"/>
      <c r="F238" s="28"/>
      <c r="G238" s="28"/>
      <c r="H238" s="28"/>
      <c r="I238" s="28"/>
      <c r="J238" s="28"/>
      <c r="K238" s="36"/>
      <c r="L238" s="28"/>
      <c r="M238" s="28"/>
      <c r="N238" s="28"/>
      <c r="O238" s="28"/>
      <c r="P238" s="28"/>
      <c r="Q238" s="36"/>
      <c r="R238" s="36"/>
      <c r="S238" s="36"/>
      <c r="T238" s="36"/>
      <c r="U238" s="36"/>
      <c r="V238" s="36"/>
      <c r="W238" s="36"/>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c r="CC238" s="28"/>
      <c r="CD238" s="28"/>
      <c r="CE238" s="28"/>
      <c r="CF238" s="28"/>
      <c r="CG238" s="28"/>
    </row>
    <row r="239" spans="1:85" ht="12.75" x14ac:dyDescent="0.2">
      <c r="A239" s="28"/>
      <c r="B239" s="28"/>
      <c r="C239" s="28"/>
      <c r="D239" s="28"/>
      <c r="E239" s="28"/>
      <c r="F239" s="28"/>
      <c r="G239" s="28"/>
      <c r="H239" s="28"/>
      <c r="I239" s="28"/>
      <c r="J239" s="28"/>
      <c r="K239" s="36"/>
      <c r="L239" s="28"/>
      <c r="M239" s="28"/>
      <c r="N239" s="28"/>
      <c r="O239" s="28"/>
      <c r="P239" s="28"/>
      <c r="Q239" s="36"/>
      <c r="R239" s="36"/>
      <c r="S239" s="36"/>
      <c r="T239" s="36"/>
      <c r="U239" s="36"/>
      <c r="V239" s="36"/>
      <c r="W239" s="36"/>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c r="CC239" s="28"/>
      <c r="CD239" s="28"/>
      <c r="CE239" s="28"/>
      <c r="CF239" s="28"/>
      <c r="CG239" s="28"/>
    </row>
    <row r="240" spans="1:85" ht="12.75" x14ac:dyDescent="0.2">
      <c r="A240" s="28"/>
      <c r="B240" s="28"/>
      <c r="C240" s="28"/>
      <c r="D240" s="28"/>
      <c r="E240" s="28"/>
      <c r="F240" s="28"/>
      <c r="G240" s="28"/>
      <c r="H240" s="28"/>
      <c r="I240" s="28"/>
      <c r="J240" s="28"/>
      <c r="K240" s="36"/>
      <c r="L240" s="28"/>
      <c r="M240" s="28"/>
      <c r="N240" s="28"/>
      <c r="O240" s="28"/>
      <c r="P240" s="28"/>
      <c r="Q240" s="36"/>
      <c r="R240" s="36"/>
      <c r="S240" s="36"/>
      <c r="T240" s="36"/>
      <c r="U240" s="36"/>
      <c r="V240" s="36"/>
      <c r="W240" s="36"/>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c r="CC240" s="28"/>
      <c r="CD240" s="28"/>
      <c r="CE240" s="28"/>
      <c r="CF240" s="28"/>
      <c r="CG240" s="28"/>
    </row>
    <row r="241" spans="1:85" ht="12.75" x14ac:dyDescent="0.2">
      <c r="A241" s="28"/>
      <c r="B241" s="28"/>
      <c r="C241" s="28"/>
      <c r="D241" s="28"/>
      <c r="E241" s="28"/>
      <c r="F241" s="28"/>
      <c r="G241" s="28"/>
      <c r="H241" s="28"/>
      <c r="I241" s="28"/>
      <c r="J241" s="28"/>
      <c r="K241" s="36"/>
      <c r="L241" s="28"/>
      <c r="M241" s="28"/>
      <c r="N241" s="28"/>
      <c r="O241" s="28"/>
      <c r="P241" s="28"/>
      <c r="Q241" s="36"/>
      <c r="R241" s="36"/>
      <c r="S241" s="36"/>
      <c r="T241" s="36"/>
      <c r="U241" s="36"/>
      <c r="V241" s="36"/>
      <c r="W241" s="36"/>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c r="CC241" s="28"/>
      <c r="CD241" s="28"/>
      <c r="CE241" s="28"/>
      <c r="CF241" s="28"/>
      <c r="CG241" s="28"/>
    </row>
    <row r="242" spans="1:85" ht="12.75" x14ac:dyDescent="0.2">
      <c r="A242" s="28"/>
      <c r="B242" s="28"/>
      <c r="C242" s="28"/>
      <c r="D242" s="28"/>
      <c r="E242" s="28"/>
      <c r="F242" s="28"/>
      <c r="G242" s="28"/>
      <c r="H242" s="28"/>
      <c r="I242" s="28"/>
      <c r="J242" s="28"/>
      <c r="K242" s="36"/>
      <c r="L242" s="28"/>
      <c r="M242" s="28"/>
      <c r="N242" s="28"/>
      <c r="O242" s="28"/>
      <c r="P242" s="28"/>
      <c r="Q242" s="36"/>
      <c r="R242" s="36"/>
      <c r="S242" s="36"/>
      <c r="T242" s="36"/>
      <c r="U242" s="36"/>
      <c r="V242" s="36"/>
      <c r="W242" s="36"/>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c r="CC242" s="28"/>
      <c r="CD242" s="28"/>
      <c r="CE242" s="28"/>
      <c r="CF242" s="28"/>
      <c r="CG242" s="28"/>
    </row>
    <row r="243" spans="1:85" ht="12.75" x14ac:dyDescent="0.2">
      <c r="A243" s="28"/>
      <c r="B243" s="28"/>
      <c r="C243" s="28"/>
      <c r="D243" s="28"/>
      <c r="E243" s="28"/>
      <c r="F243" s="28"/>
      <c r="G243" s="28"/>
      <c r="H243" s="28"/>
      <c r="I243" s="28"/>
      <c r="J243" s="28"/>
      <c r="K243" s="36"/>
      <c r="L243" s="28"/>
      <c r="M243" s="28"/>
      <c r="N243" s="28"/>
      <c r="O243" s="28"/>
      <c r="P243" s="28"/>
      <c r="Q243" s="36"/>
      <c r="R243" s="36"/>
      <c r="S243" s="36"/>
      <c r="T243" s="36"/>
      <c r="U243" s="36"/>
      <c r="V243" s="36"/>
      <c r="W243" s="36"/>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c r="CC243" s="28"/>
      <c r="CD243" s="28"/>
      <c r="CE243" s="28"/>
      <c r="CF243" s="28"/>
      <c r="CG243" s="28"/>
    </row>
    <row r="244" spans="1:85" ht="12.75" x14ac:dyDescent="0.2">
      <c r="A244" s="28"/>
      <c r="B244" s="28"/>
      <c r="C244" s="28"/>
      <c r="D244" s="28"/>
      <c r="E244" s="28"/>
      <c r="F244" s="28"/>
      <c r="G244" s="28"/>
      <c r="H244" s="28"/>
      <c r="I244" s="28"/>
      <c r="J244" s="28"/>
      <c r="K244" s="36"/>
      <c r="L244" s="28"/>
      <c r="M244" s="28"/>
      <c r="N244" s="28"/>
      <c r="O244" s="28"/>
      <c r="P244" s="28"/>
      <c r="Q244" s="36"/>
      <c r="R244" s="36"/>
      <c r="S244" s="36"/>
      <c r="T244" s="36"/>
      <c r="U244" s="36"/>
      <c r="V244" s="36"/>
      <c r="W244" s="36"/>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c r="CC244" s="28"/>
      <c r="CD244" s="28"/>
      <c r="CE244" s="28"/>
      <c r="CF244" s="28"/>
      <c r="CG244" s="28"/>
    </row>
    <row r="245" spans="1:85" ht="12.75" x14ac:dyDescent="0.2">
      <c r="A245" s="28"/>
      <c r="B245" s="28"/>
      <c r="C245" s="28"/>
      <c r="D245" s="28"/>
      <c r="E245" s="28"/>
      <c r="F245" s="28"/>
      <c r="G245" s="28"/>
      <c r="H245" s="28"/>
      <c r="I245" s="28"/>
      <c r="J245" s="28"/>
      <c r="K245" s="36"/>
      <c r="L245" s="28"/>
      <c r="M245" s="28"/>
      <c r="N245" s="28"/>
      <c r="O245" s="28"/>
      <c r="P245" s="28"/>
      <c r="Q245" s="36"/>
      <c r="R245" s="36"/>
      <c r="S245" s="36"/>
      <c r="T245" s="36"/>
      <c r="U245" s="36"/>
      <c r="V245" s="36"/>
      <c r="W245" s="36"/>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c r="BW245" s="28"/>
      <c r="BX245" s="28"/>
      <c r="BY245" s="28"/>
      <c r="BZ245" s="28"/>
      <c r="CA245" s="28"/>
      <c r="CB245" s="28"/>
      <c r="CC245" s="28"/>
      <c r="CD245" s="28"/>
      <c r="CE245" s="28"/>
      <c r="CF245" s="28"/>
      <c r="CG245" s="28"/>
    </row>
    <row r="246" spans="1:85" ht="12.75" x14ac:dyDescent="0.2">
      <c r="A246" s="28"/>
      <c r="B246" s="28"/>
      <c r="C246" s="28"/>
      <c r="D246" s="28"/>
      <c r="E246" s="28"/>
      <c r="F246" s="28"/>
      <c r="G246" s="28"/>
      <c r="H246" s="28"/>
      <c r="I246" s="28"/>
      <c r="J246" s="28"/>
      <c r="K246" s="36"/>
      <c r="L246" s="28"/>
      <c r="M246" s="28"/>
      <c r="N246" s="28"/>
      <c r="O246" s="28"/>
      <c r="P246" s="28"/>
      <c r="Q246" s="36"/>
      <c r="R246" s="36"/>
      <c r="S246" s="36"/>
      <c r="T246" s="36"/>
      <c r="U246" s="36"/>
      <c r="V246" s="36"/>
      <c r="W246" s="36"/>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8"/>
      <c r="BW246" s="28"/>
      <c r="BX246" s="28"/>
      <c r="BY246" s="28"/>
      <c r="BZ246" s="28"/>
      <c r="CA246" s="28"/>
      <c r="CB246" s="28"/>
      <c r="CC246" s="28"/>
      <c r="CD246" s="28"/>
      <c r="CE246" s="28"/>
      <c r="CF246" s="28"/>
      <c r="CG246" s="28"/>
    </row>
    <row r="247" spans="1:85" ht="12.75" x14ac:dyDescent="0.2">
      <c r="A247" s="28"/>
      <c r="B247" s="28"/>
      <c r="C247" s="28"/>
      <c r="D247" s="28"/>
      <c r="E247" s="28"/>
      <c r="F247" s="28"/>
      <c r="G247" s="28"/>
      <c r="H247" s="28"/>
      <c r="I247" s="28"/>
      <c r="J247" s="28"/>
      <c r="K247" s="36"/>
      <c r="L247" s="28"/>
      <c r="M247" s="28"/>
      <c r="N247" s="28"/>
      <c r="O247" s="28"/>
      <c r="P247" s="28"/>
      <c r="Q247" s="36"/>
      <c r="R247" s="36"/>
      <c r="S247" s="36"/>
      <c r="T247" s="36"/>
      <c r="U247" s="36"/>
      <c r="V247" s="36"/>
      <c r="W247" s="36"/>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c r="BR247" s="28"/>
      <c r="BS247" s="28"/>
      <c r="BT247" s="28"/>
      <c r="BU247" s="28"/>
      <c r="BV247" s="28"/>
      <c r="BW247" s="28"/>
      <c r="BX247" s="28"/>
      <c r="BY247" s="28"/>
      <c r="BZ247" s="28"/>
      <c r="CA247" s="28"/>
      <c r="CB247" s="28"/>
      <c r="CC247" s="28"/>
      <c r="CD247" s="28"/>
      <c r="CE247" s="28"/>
      <c r="CF247" s="28"/>
      <c r="CG247" s="28"/>
    </row>
    <row r="248" spans="1:85" ht="12.75" x14ac:dyDescent="0.2">
      <c r="A248" s="28"/>
      <c r="B248" s="28"/>
      <c r="C248" s="28"/>
      <c r="D248" s="28"/>
      <c r="E248" s="28"/>
      <c r="F248" s="28"/>
      <c r="G248" s="28"/>
      <c r="H248" s="28"/>
      <c r="I248" s="28"/>
      <c r="J248" s="28"/>
      <c r="K248" s="36"/>
      <c r="L248" s="28"/>
      <c r="M248" s="28"/>
      <c r="N248" s="28"/>
      <c r="O248" s="28"/>
      <c r="P248" s="28"/>
      <c r="Q248" s="36"/>
      <c r="R248" s="36"/>
      <c r="S248" s="36"/>
      <c r="T248" s="36"/>
      <c r="U248" s="36"/>
      <c r="V248" s="36"/>
      <c r="W248" s="36"/>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c r="BR248" s="28"/>
      <c r="BS248" s="28"/>
      <c r="BT248" s="28"/>
      <c r="BU248" s="28"/>
      <c r="BV248" s="28"/>
      <c r="BW248" s="28"/>
      <c r="BX248" s="28"/>
      <c r="BY248" s="28"/>
      <c r="BZ248" s="28"/>
      <c r="CA248" s="28"/>
      <c r="CB248" s="28"/>
      <c r="CC248" s="28"/>
      <c r="CD248" s="28"/>
      <c r="CE248" s="28"/>
      <c r="CF248" s="28"/>
      <c r="CG248" s="28"/>
    </row>
    <row r="249" spans="1:85" ht="12.75" x14ac:dyDescent="0.2">
      <c r="A249" s="28"/>
      <c r="B249" s="28"/>
      <c r="C249" s="28"/>
      <c r="D249" s="28"/>
      <c r="E249" s="28"/>
      <c r="F249" s="28"/>
      <c r="G249" s="28"/>
      <c r="H249" s="28"/>
      <c r="I249" s="28"/>
      <c r="J249" s="28"/>
      <c r="K249" s="36"/>
      <c r="L249" s="28"/>
      <c r="M249" s="28"/>
      <c r="N249" s="28"/>
      <c r="O249" s="28"/>
      <c r="P249" s="28"/>
      <c r="Q249" s="36"/>
      <c r="R249" s="36"/>
      <c r="S249" s="36"/>
      <c r="T249" s="36"/>
      <c r="U249" s="36"/>
      <c r="V249" s="36"/>
      <c r="W249" s="36"/>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c r="BR249" s="28"/>
      <c r="BS249" s="28"/>
      <c r="BT249" s="28"/>
      <c r="BU249" s="28"/>
      <c r="BV249" s="28"/>
      <c r="BW249" s="28"/>
      <c r="BX249" s="28"/>
      <c r="BY249" s="28"/>
      <c r="BZ249" s="28"/>
      <c r="CA249" s="28"/>
      <c r="CB249" s="28"/>
      <c r="CC249" s="28"/>
      <c r="CD249" s="28"/>
      <c r="CE249" s="28"/>
      <c r="CF249" s="28"/>
      <c r="CG249" s="28"/>
    </row>
    <row r="250" spans="1:85" ht="12.75" x14ac:dyDescent="0.2">
      <c r="A250" s="28"/>
      <c r="B250" s="28"/>
      <c r="C250" s="28"/>
      <c r="D250" s="28"/>
      <c r="E250" s="28"/>
      <c r="F250" s="28"/>
      <c r="G250" s="28"/>
      <c r="H250" s="28"/>
      <c r="I250" s="28"/>
      <c r="J250" s="28"/>
      <c r="K250" s="36"/>
      <c r="L250" s="28"/>
      <c r="M250" s="28"/>
      <c r="N250" s="28"/>
      <c r="O250" s="28"/>
      <c r="P250" s="28"/>
      <c r="Q250" s="36"/>
      <c r="R250" s="36"/>
      <c r="S250" s="36"/>
      <c r="T250" s="36"/>
      <c r="U250" s="36"/>
      <c r="V250" s="36"/>
      <c r="W250" s="36"/>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c r="BR250" s="28"/>
      <c r="BS250" s="28"/>
      <c r="BT250" s="28"/>
      <c r="BU250" s="28"/>
      <c r="BV250" s="28"/>
      <c r="BW250" s="28"/>
      <c r="BX250" s="28"/>
      <c r="BY250" s="28"/>
      <c r="BZ250" s="28"/>
      <c r="CA250" s="28"/>
      <c r="CB250" s="28"/>
      <c r="CC250" s="28"/>
      <c r="CD250" s="28"/>
      <c r="CE250" s="28"/>
      <c r="CF250" s="28"/>
      <c r="CG250" s="28"/>
    </row>
    <row r="251" spans="1:85" ht="12.75" x14ac:dyDescent="0.2">
      <c r="A251" s="28"/>
      <c r="B251" s="28"/>
      <c r="C251" s="28"/>
      <c r="D251" s="28"/>
      <c r="E251" s="28"/>
      <c r="F251" s="28"/>
      <c r="G251" s="28"/>
      <c r="H251" s="28"/>
      <c r="I251" s="28"/>
      <c r="J251" s="28"/>
      <c r="K251" s="36"/>
      <c r="L251" s="28"/>
      <c r="M251" s="28"/>
      <c r="N251" s="28"/>
      <c r="O251" s="28"/>
      <c r="P251" s="28"/>
      <c r="Q251" s="36"/>
      <c r="R251" s="36"/>
      <c r="S251" s="36"/>
      <c r="T251" s="36"/>
      <c r="U251" s="36"/>
      <c r="V251" s="36"/>
      <c r="W251" s="36"/>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c r="BW251" s="28"/>
      <c r="BX251" s="28"/>
      <c r="BY251" s="28"/>
      <c r="BZ251" s="28"/>
      <c r="CA251" s="28"/>
      <c r="CB251" s="28"/>
      <c r="CC251" s="28"/>
      <c r="CD251" s="28"/>
      <c r="CE251" s="28"/>
      <c r="CF251" s="28"/>
      <c r="CG251" s="28"/>
    </row>
    <row r="252" spans="1:85" ht="12.75" x14ac:dyDescent="0.2">
      <c r="A252" s="28"/>
      <c r="B252" s="28"/>
      <c r="C252" s="28"/>
      <c r="D252" s="28"/>
      <c r="E252" s="28"/>
      <c r="F252" s="28"/>
      <c r="G252" s="28"/>
      <c r="H252" s="28"/>
      <c r="I252" s="28"/>
      <c r="J252" s="28"/>
      <c r="K252" s="36"/>
      <c r="L252" s="28"/>
      <c r="M252" s="28"/>
      <c r="N252" s="28"/>
      <c r="O252" s="28"/>
      <c r="P252" s="28"/>
      <c r="Q252" s="36"/>
      <c r="R252" s="36"/>
      <c r="S252" s="36"/>
      <c r="T252" s="36"/>
      <c r="U252" s="36"/>
      <c r="V252" s="36"/>
      <c r="W252" s="36"/>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c r="BW252" s="28"/>
      <c r="BX252" s="28"/>
      <c r="BY252" s="28"/>
      <c r="BZ252" s="28"/>
      <c r="CA252" s="28"/>
      <c r="CB252" s="28"/>
      <c r="CC252" s="28"/>
      <c r="CD252" s="28"/>
      <c r="CE252" s="28"/>
      <c r="CF252" s="28"/>
      <c r="CG252" s="28"/>
    </row>
    <row r="253" spans="1:85" ht="12.75" x14ac:dyDescent="0.2">
      <c r="A253" s="28"/>
      <c r="B253" s="28"/>
      <c r="C253" s="28"/>
      <c r="D253" s="28"/>
      <c r="E253" s="28"/>
      <c r="F253" s="28"/>
      <c r="G253" s="28"/>
      <c r="H253" s="28"/>
      <c r="I253" s="28"/>
      <c r="J253" s="28"/>
      <c r="K253" s="36"/>
      <c r="L253" s="28"/>
      <c r="M253" s="28"/>
      <c r="N253" s="28"/>
      <c r="O253" s="28"/>
      <c r="P253" s="28"/>
      <c r="Q253" s="36"/>
      <c r="R253" s="36"/>
      <c r="S253" s="36"/>
      <c r="T253" s="36"/>
      <c r="U253" s="36"/>
      <c r="V253" s="36"/>
      <c r="W253" s="36"/>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c r="BZ253" s="28"/>
      <c r="CA253" s="28"/>
      <c r="CB253" s="28"/>
      <c r="CC253" s="28"/>
      <c r="CD253" s="28"/>
      <c r="CE253" s="28"/>
      <c r="CF253" s="28"/>
      <c r="CG253" s="28"/>
    </row>
    <row r="254" spans="1:85" ht="12.75" x14ac:dyDescent="0.2">
      <c r="A254" s="28"/>
      <c r="B254" s="28"/>
      <c r="C254" s="28"/>
      <c r="D254" s="28"/>
      <c r="E254" s="28"/>
      <c r="F254" s="28"/>
      <c r="G254" s="28"/>
      <c r="H254" s="28"/>
      <c r="I254" s="28"/>
      <c r="J254" s="28"/>
      <c r="K254" s="36"/>
      <c r="L254" s="28"/>
      <c r="M254" s="28"/>
      <c r="N254" s="28"/>
      <c r="O254" s="28"/>
      <c r="P254" s="28"/>
      <c r="Q254" s="36"/>
      <c r="R254" s="36"/>
      <c r="S254" s="36"/>
      <c r="T254" s="36"/>
      <c r="U254" s="36"/>
      <c r="V254" s="36"/>
      <c r="W254" s="36"/>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c r="BW254" s="28"/>
      <c r="BX254" s="28"/>
      <c r="BY254" s="28"/>
      <c r="BZ254" s="28"/>
      <c r="CA254" s="28"/>
      <c r="CB254" s="28"/>
      <c r="CC254" s="28"/>
      <c r="CD254" s="28"/>
      <c r="CE254" s="28"/>
      <c r="CF254" s="28"/>
      <c r="CG254" s="28"/>
    </row>
    <row r="255" spans="1:85" ht="12.75" x14ac:dyDescent="0.2">
      <c r="A255" s="28"/>
      <c r="B255" s="28"/>
      <c r="C255" s="28"/>
      <c r="D255" s="28"/>
      <c r="E255" s="28"/>
      <c r="F255" s="28"/>
      <c r="G255" s="28"/>
      <c r="H255" s="28"/>
      <c r="I255" s="28"/>
      <c r="J255" s="28"/>
      <c r="K255" s="36"/>
      <c r="L255" s="28"/>
      <c r="M255" s="28"/>
      <c r="N255" s="28"/>
      <c r="O255" s="28"/>
      <c r="P255" s="28"/>
      <c r="Q255" s="36"/>
      <c r="R255" s="36"/>
      <c r="S255" s="36"/>
      <c r="T255" s="36"/>
      <c r="U255" s="36"/>
      <c r="V255" s="36"/>
      <c r="W255" s="36"/>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c r="BW255" s="28"/>
      <c r="BX255" s="28"/>
      <c r="BY255" s="28"/>
      <c r="BZ255" s="28"/>
      <c r="CA255" s="28"/>
      <c r="CB255" s="28"/>
      <c r="CC255" s="28"/>
      <c r="CD255" s="28"/>
      <c r="CE255" s="28"/>
      <c r="CF255" s="28"/>
      <c r="CG255" s="28"/>
    </row>
    <row r="256" spans="1:85" ht="12.75" x14ac:dyDescent="0.2">
      <c r="A256" s="28"/>
      <c r="B256" s="28"/>
      <c r="C256" s="28"/>
      <c r="D256" s="28"/>
      <c r="E256" s="28"/>
      <c r="F256" s="28"/>
      <c r="G256" s="28"/>
      <c r="H256" s="28"/>
      <c r="I256" s="28"/>
      <c r="J256" s="28"/>
      <c r="K256" s="36"/>
      <c r="L256" s="28"/>
      <c r="M256" s="28"/>
      <c r="N256" s="28"/>
      <c r="O256" s="28"/>
      <c r="P256" s="28"/>
      <c r="Q256" s="36"/>
      <c r="R256" s="36"/>
      <c r="S256" s="36"/>
      <c r="T256" s="36"/>
      <c r="U256" s="36"/>
      <c r="V256" s="36"/>
      <c r="W256" s="36"/>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c r="BW256" s="28"/>
      <c r="BX256" s="28"/>
      <c r="BY256" s="28"/>
      <c r="BZ256" s="28"/>
      <c r="CA256" s="28"/>
      <c r="CB256" s="28"/>
      <c r="CC256" s="28"/>
      <c r="CD256" s="28"/>
      <c r="CE256" s="28"/>
      <c r="CF256" s="28"/>
      <c r="CG256" s="28"/>
    </row>
    <row r="257" spans="1:85" ht="12.75" x14ac:dyDescent="0.2">
      <c r="A257" s="28"/>
      <c r="B257" s="28"/>
      <c r="C257" s="28"/>
      <c r="D257" s="28"/>
      <c r="E257" s="28"/>
      <c r="F257" s="28"/>
      <c r="G257" s="28"/>
      <c r="H257" s="28"/>
      <c r="I257" s="28"/>
      <c r="J257" s="28"/>
      <c r="K257" s="36"/>
      <c r="L257" s="28"/>
      <c r="M257" s="28"/>
      <c r="N257" s="28"/>
      <c r="O257" s="28"/>
      <c r="P257" s="28"/>
      <c r="Q257" s="36"/>
      <c r="R257" s="36"/>
      <c r="S257" s="36"/>
      <c r="T257" s="36"/>
      <c r="U257" s="36"/>
      <c r="V257" s="36"/>
      <c r="W257" s="36"/>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c r="BW257" s="28"/>
      <c r="BX257" s="28"/>
      <c r="BY257" s="28"/>
      <c r="BZ257" s="28"/>
      <c r="CA257" s="28"/>
      <c r="CB257" s="28"/>
      <c r="CC257" s="28"/>
      <c r="CD257" s="28"/>
      <c r="CE257" s="28"/>
      <c r="CF257" s="28"/>
      <c r="CG257" s="28"/>
    </row>
    <row r="258" spans="1:85" ht="12.75" x14ac:dyDescent="0.2">
      <c r="A258" s="28"/>
      <c r="B258" s="28"/>
      <c r="C258" s="28"/>
      <c r="D258" s="28"/>
      <c r="E258" s="28"/>
      <c r="F258" s="28"/>
      <c r="G258" s="28"/>
      <c r="H258" s="28"/>
      <c r="I258" s="28"/>
      <c r="J258" s="28"/>
      <c r="K258" s="36"/>
      <c r="L258" s="28"/>
      <c r="M258" s="28"/>
      <c r="N258" s="28"/>
      <c r="O258" s="28"/>
      <c r="P258" s="28"/>
      <c r="Q258" s="36"/>
      <c r="R258" s="36"/>
      <c r="S258" s="36"/>
      <c r="T258" s="36"/>
      <c r="U258" s="36"/>
      <c r="V258" s="36"/>
      <c r="W258" s="36"/>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c r="BZ258" s="28"/>
      <c r="CA258" s="28"/>
      <c r="CB258" s="28"/>
      <c r="CC258" s="28"/>
      <c r="CD258" s="28"/>
      <c r="CE258" s="28"/>
      <c r="CF258" s="28"/>
      <c r="CG258" s="28"/>
    </row>
    <row r="259" spans="1:85" ht="12.75" x14ac:dyDescent="0.2">
      <c r="A259" s="28"/>
      <c r="B259" s="28"/>
      <c r="C259" s="28"/>
      <c r="D259" s="28"/>
      <c r="E259" s="28"/>
      <c r="F259" s="28"/>
      <c r="G259" s="28"/>
      <c r="H259" s="28"/>
      <c r="I259" s="28"/>
      <c r="J259" s="28"/>
      <c r="K259" s="36"/>
      <c r="L259" s="28"/>
      <c r="M259" s="28"/>
      <c r="N259" s="28"/>
      <c r="O259" s="28"/>
      <c r="P259" s="28"/>
      <c r="Q259" s="36"/>
      <c r="R259" s="36"/>
      <c r="S259" s="36"/>
      <c r="T259" s="36"/>
      <c r="U259" s="36"/>
      <c r="V259" s="36"/>
      <c r="W259" s="36"/>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row>
    <row r="260" spans="1:85" ht="12.75" x14ac:dyDescent="0.2">
      <c r="A260" s="28"/>
      <c r="B260" s="28"/>
      <c r="C260" s="28"/>
      <c r="D260" s="28"/>
      <c r="E260" s="28"/>
      <c r="F260" s="28"/>
      <c r="G260" s="28"/>
      <c r="H260" s="28"/>
      <c r="I260" s="28"/>
      <c r="J260" s="28"/>
      <c r="K260" s="36"/>
      <c r="L260" s="28"/>
      <c r="M260" s="28"/>
      <c r="N260" s="28"/>
      <c r="O260" s="28"/>
      <c r="P260" s="28"/>
      <c r="Q260" s="36"/>
      <c r="R260" s="36"/>
      <c r="S260" s="36"/>
      <c r="T260" s="36"/>
      <c r="U260" s="36"/>
      <c r="V260" s="36"/>
      <c r="W260" s="36"/>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row>
    <row r="261" spans="1:85" ht="12.75" x14ac:dyDescent="0.2">
      <c r="A261" s="28"/>
      <c r="B261" s="28"/>
      <c r="C261" s="28"/>
      <c r="D261" s="28"/>
      <c r="E261" s="28"/>
      <c r="F261" s="28"/>
      <c r="G261" s="28"/>
      <c r="H261" s="28"/>
      <c r="I261" s="28"/>
      <c r="J261" s="28"/>
      <c r="K261" s="36"/>
      <c r="L261" s="28"/>
      <c r="M261" s="28"/>
      <c r="N261" s="28"/>
      <c r="O261" s="28"/>
      <c r="P261" s="28"/>
      <c r="Q261" s="36"/>
      <c r="R261" s="36"/>
      <c r="S261" s="36"/>
      <c r="T261" s="36"/>
      <c r="U261" s="36"/>
      <c r="V261" s="36"/>
      <c r="W261" s="36"/>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row>
    <row r="262" spans="1:85" ht="12.75" x14ac:dyDescent="0.2">
      <c r="A262" s="28"/>
      <c r="B262" s="28"/>
      <c r="C262" s="28"/>
      <c r="D262" s="28"/>
      <c r="E262" s="28"/>
      <c r="F262" s="28"/>
      <c r="G262" s="28"/>
      <c r="H262" s="28"/>
      <c r="I262" s="28"/>
      <c r="J262" s="28"/>
      <c r="K262" s="36"/>
      <c r="L262" s="28"/>
      <c r="M262" s="28"/>
      <c r="N262" s="28"/>
      <c r="O262" s="28"/>
      <c r="P262" s="28"/>
      <c r="Q262" s="36"/>
      <c r="R262" s="36"/>
      <c r="S262" s="36"/>
      <c r="T262" s="36"/>
      <c r="U262" s="36"/>
      <c r="V262" s="36"/>
      <c r="W262" s="36"/>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row>
    <row r="263" spans="1:85" ht="12.75" x14ac:dyDescent="0.2">
      <c r="A263" s="28"/>
      <c r="B263" s="28"/>
      <c r="C263" s="28"/>
      <c r="D263" s="28"/>
      <c r="E263" s="28"/>
      <c r="F263" s="28"/>
      <c r="G263" s="28"/>
      <c r="H263" s="28"/>
      <c r="I263" s="28"/>
      <c r="J263" s="28"/>
      <c r="K263" s="36"/>
      <c r="L263" s="28"/>
      <c r="M263" s="28"/>
      <c r="N263" s="28"/>
      <c r="O263" s="28"/>
      <c r="P263" s="28"/>
      <c r="Q263" s="36"/>
      <c r="R263" s="36"/>
      <c r="S263" s="36"/>
      <c r="T263" s="36"/>
      <c r="U263" s="36"/>
      <c r="V263" s="36"/>
      <c r="W263" s="36"/>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row>
    <row r="264" spans="1:85" ht="12.75" x14ac:dyDescent="0.2">
      <c r="A264" s="28"/>
      <c r="B264" s="28"/>
      <c r="C264" s="28"/>
      <c r="D264" s="28"/>
      <c r="E264" s="28"/>
      <c r="F264" s="28"/>
      <c r="G264" s="28"/>
      <c r="H264" s="28"/>
      <c r="I264" s="28"/>
      <c r="J264" s="28"/>
      <c r="K264" s="36"/>
      <c r="L264" s="28"/>
      <c r="M264" s="28"/>
      <c r="N264" s="28"/>
      <c r="O264" s="28"/>
      <c r="P264" s="28"/>
      <c r="Q264" s="36"/>
      <c r="R264" s="36"/>
      <c r="S264" s="36"/>
      <c r="T264" s="36"/>
      <c r="U264" s="36"/>
      <c r="V264" s="36"/>
      <c r="W264" s="36"/>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row>
    <row r="265" spans="1:85" ht="12.75" x14ac:dyDescent="0.2">
      <c r="A265" s="28"/>
      <c r="B265" s="28"/>
      <c r="C265" s="28"/>
      <c r="D265" s="28"/>
      <c r="E265" s="28"/>
      <c r="F265" s="28"/>
      <c r="G265" s="28"/>
      <c r="H265" s="28"/>
      <c r="I265" s="28"/>
      <c r="J265" s="28"/>
      <c r="K265" s="36"/>
      <c r="L265" s="28"/>
      <c r="M265" s="28"/>
      <c r="N265" s="28"/>
      <c r="O265" s="28"/>
      <c r="P265" s="28"/>
      <c r="Q265" s="36"/>
      <c r="R265" s="36"/>
      <c r="S265" s="36"/>
      <c r="T265" s="36"/>
      <c r="U265" s="36"/>
      <c r="V265" s="36"/>
      <c r="W265" s="36"/>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row>
    <row r="266" spans="1:85" ht="12.75" x14ac:dyDescent="0.2">
      <c r="A266" s="28"/>
      <c r="B266" s="28"/>
      <c r="C266" s="28"/>
      <c r="D266" s="28"/>
      <c r="E266" s="28"/>
      <c r="F266" s="28"/>
      <c r="G266" s="28"/>
      <c r="H266" s="28"/>
      <c r="I266" s="28"/>
      <c r="J266" s="28"/>
      <c r="K266" s="36"/>
      <c r="L266" s="28"/>
      <c r="M266" s="28"/>
      <c r="N266" s="28"/>
      <c r="O266" s="28"/>
      <c r="P266" s="28"/>
      <c r="Q266" s="36"/>
      <c r="R266" s="36"/>
      <c r="S266" s="36"/>
      <c r="T266" s="36"/>
      <c r="U266" s="36"/>
      <c r="V266" s="36"/>
      <c r="W266" s="36"/>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row>
    <row r="267" spans="1:85" ht="12.75" x14ac:dyDescent="0.2">
      <c r="A267" s="28"/>
      <c r="B267" s="28"/>
      <c r="C267" s="28"/>
      <c r="D267" s="28"/>
      <c r="E267" s="28"/>
      <c r="F267" s="28"/>
      <c r="G267" s="28"/>
      <c r="H267" s="28"/>
      <c r="I267" s="28"/>
      <c r="J267" s="28"/>
      <c r="K267" s="36"/>
      <c r="L267" s="28"/>
      <c r="M267" s="28"/>
      <c r="N267" s="28"/>
      <c r="O267" s="28"/>
      <c r="P267" s="28"/>
      <c r="Q267" s="36"/>
      <c r="R267" s="36"/>
      <c r="S267" s="36"/>
      <c r="T267" s="36"/>
      <c r="U267" s="36"/>
      <c r="V267" s="36"/>
      <c r="W267" s="36"/>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row>
    <row r="268" spans="1:85" ht="12.75" x14ac:dyDescent="0.2">
      <c r="A268" s="28"/>
      <c r="B268" s="28"/>
      <c r="C268" s="28"/>
      <c r="D268" s="28"/>
      <c r="E268" s="28"/>
      <c r="F268" s="28"/>
      <c r="G268" s="28"/>
      <c r="H268" s="28"/>
      <c r="I268" s="28"/>
      <c r="J268" s="28"/>
      <c r="K268" s="36"/>
      <c r="L268" s="28"/>
      <c r="M268" s="28"/>
      <c r="N268" s="28"/>
      <c r="O268" s="28"/>
      <c r="P268" s="28"/>
      <c r="Q268" s="36"/>
      <c r="R268" s="36"/>
      <c r="S268" s="36"/>
      <c r="T268" s="36"/>
      <c r="U268" s="36"/>
      <c r="V268" s="36"/>
      <c r="W268" s="36"/>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row>
    <row r="269" spans="1:85" ht="12.75" x14ac:dyDescent="0.2">
      <c r="A269" s="28"/>
      <c r="B269" s="28"/>
      <c r="C269" s="28"/>
      <c r="D269" s="28"/>
      <c r="E269" s="28"/>
      <c r="F269" s="28"/>
      <c r="G269" s="28"/>
      <c r="H269" s="28"/>
      <c r="I269" s="28"/>
      <c r="J269" s="28"/>
      <c r="K269" s="36"/>
      <c r="L269" s="28"/>
      <c r="M269" s="28"/>
      <c r="N269" s="28"/>
      <c r="O269" s="28"/>
      <c r="P269" s="28"/>
      <c r="Q269" s="36"/>
      <c r="R269" s="36"/>
      <c r="S269" s="36"/>
      <c r="T269" s="36"/>
      <c r="U269" s="36"/>
      <c r="V269" s="36"/>
      <c r="W269" s="36"/>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row>
    <row r="270" spans="1:85" ht="12.75" x14ac:dyDescent="0.2">
      <c r="A270" s="28"/>
      <c r="B270" s="28"/>
      <c r="C270" s="28"/>
      <c r="D270" s="28"/>
      <c r="E270" s="28"/>
      <c r="F270" s="28"/>
      <c r="G270" s="28"/>
      <c r="H270" s="28"/>
      <c r="I270" s="28"/>
      <c r="J270" s="28"/>
      <c r="K270" s="36"/>
      <c r="L270" s="28"/>
      <c r="M270" s="28"/>
      <c r="N270" s="28"/>
      <c r="O270" s="28"/>
      <c r="P270" s="28"/>
      <c r="Q270" s="36"/>
      <c r="R270" s="36"/>
      <c r="S270" s="36"/>
      <c r="T270" s="36"/>
      <c r="U270" s="36"/>
      <c r="V270" s="36"/>
      <c r="W270" s="36"/>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row>
    <row r="271" spans="1:85" ht="12.75" x14ac:dyDescent="0.2">
      <c r="A271" s="28"/>
      <c r="B271" s="28"/>
      <c r="C271" s="28"/>
      <c r="D271" s="28"/>
      <c r="E271" s="28"/>
      <c r="F271" s="28"/>
      <c r="G271" s="28"/>
      <c r="H271" s="28"/>
      <c r="I271" s="28"/>
      <c r="J271" s="28"/>
      <c r="K271" s="36"/>
      <c r="L271" s="28"/>
      <c r="M271" s="28"/>
      <c r="N271" s="28"/>
      <c r="O271" s="28"/>
      <c r="P271" s="28"/>
      <c r="Q271" s="36"/>
      <c r="R271" s="36"/>
      <c r="S271" s="36"/>
      <c r="T271" s="36"/>
      <c r="U271" s="36"/>
      <c r="V271" s="36"/>
      <c r="W271" s="36"/>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row>
    <row r="272" spans="1:85" ht="12.75" x14ac:dyDescent="0.2">
      <c r="A272" s="28"/>
      <c r="B272" s="28"/>
      <c r="C272" s="28"/>
      <c r="D272" s="28"/>
      <c r="E272" s="28"/>
      <c r="F272" s="28"/>
      <c r="G272" s="28"/>
      <c r="H272" s="28"/>
      <c r="I272" s="28"/>
      <c r="J272" s="28"/>
      <c r="K272" s="36"/>
      <c r="L272" s="28"/>
      <c r="M272" s="28"/>
      <c r="N272" s="28"/>
      <c r="O272" s="28"/>
      <c r="P272" s="28"/>
      <c r="Q272" s="36"/>
      <c r="R272" s="36"/>
      <c r="S272" s="36"/>
      <c r="T272" s="36"/>
      <c r="U272" s="36"/>
      <c r="V272" s="36"/>
      <c r="W272" s="36"/>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8"/>
      <c r="BY272" s="28"/>
      <c r="BZ272" s="28"/>
      <c r="CA272" s="28"/>
      <c r="CB272" s="28"/>
      <c r="CC272" s="28"/>
      <c r="CD272" s="28"/>
      <c r="CE272" s="28"/>
      <c r="CF272" s="28"/>
      <c r="CG272" s="28"/>
    </row>
    <row r="273" spans="1:85" ht="12.75" x14ac:dyDescent="0.2">
      <c r="A273" s="28"/>
      <c r="B273" s="28"/>
      <c r="C273" s="28"/>
      <c r="D273" s="28"/>
      <c r="E273" s="28"/>
      <c r="F273" s="28"/>
      <c r="G273" s="28"/>
      <c r="H273" s="28"/>
      <c r="I273" s="28"/>
      <c r="J273" s="28"/>
      <c r="K273" s="36"/>
      <c r="L273" s="28"/>
      <c r="M273" s="28"/>
      <c r="N273" s="28"/>
      <c r="O273" s="28"/>
      <c r="P273" s="28"/>
      <c r="Q273" s="36"/>
      <c r="R273" s="36"/>
      <c r="S273" s="36"/>
      <c r="T273" s="36"/>
      <c r="U273" s="36"/>
      <c r="V273" s="36"/>
      <c r="W273" s="36"/>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c r="BW273" s="28"/>
      <c r="BX273" s="28"/>
      <c r="BY273" s="28"/>
      <c r="BZ273" s="28"/>
      <c r="CA273" s="28"/>
      <c r="CB273" s="28"/>
      <c r="CC273" s="28"/>
      <c r="CD273" s="28"/>
      <c r="CE273" s="28"/>
      <c r="CF273" s="28"/>
      <c r="CG273" s="28"/>
    </row>
    <row r="274" spans="1:85" ht="12.75" x14ac:dyDescent="0.2">
      <c r="A274" s="28"/>
      <c r="B274" s="28"/>
      <c r="C274" s="28"/>
      <c r="D274" s="28"/>
      <c r="E274" s="28"/>
      <c r="F274" s="28"/>
      <c r="G274" s="28"/>
      <c r="H274" s="28"/>
      <c r="I274" s="28"/>
      <c r="J274" s="28"/>
      <c r="K274" s="36"/>
      <c r="L274" s="28"/>
      <c r="M274" s="28"/>
      <c r="N274" s="28"/>
      <c r="O274" s="28"/>
      <c r="P274" s="28"/>
      <c r="Q274" s="36"/>
      <c r="R274" s="36"/>
      <c r="S274" s="36"/>
      <c r="T274" s="36"/>
      <c r="U274" s="36"/>
      <c r="V274" s="36"/>
      <c r="W274" s="36"/>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c r="BW274" s="28"/>
      <c r="BX274" s="28"/>
      <c r="BY274" s="28"/>
      <c r="BZ274" s="28"/>
      <c r="CA274" s="28"/>
      <c r="CB274" s="28"/>
      <c r="CC274" s="28"/>
      <c r="CD274" s="28"/>
      <c r="CE274" s="28"/>
      <c r="CF274" s="28"/>
      <c r="CG274" s="28"/>
    </row>
    <row r="275" spans="1:85" ht="12.75" x14ac:dyDescent="0.2">
      <c r="A275" s="28"/>
      <c r="B275" s="28"/>
      <c r="C275" s="28"/>
      <c r="D275" s="28"/>
      <c r="E275" s="28"/>
      <c r="F275" s="28"/>
      <c r="G275" s="28"/>
      <c r="H275" s="28"/>
      <c r="I275" s="28"/>
      <c r="J275" s="28"/>
      <c r="K275" s="36"/>
      <c r="L275" s="28"/>
      <c r="M275" s="28"/>
      <c r="N275" s="28"/>
      <c r="O275" s="28"/>
      <c r="P275" s="28"/>
      <c r="Q275" s="36"/>
      <c r="R275" s="36"/>
      <c r="S275" s="36"/>
      <c r="T275" s="36"/>
      <c r="U275" s="36"/>
      <c r="V275" s="36"/>
      <c r="W275" s="36"/>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c r="BW275" s="28"/>
      <c r="BX275" s="28"/>
      <c r="BY275" s="28"/>
      <c r="BZ275" s="28"/>
      <c r="CA275" s="28"/>
      <c r="CB275" s="28"/>
      <c r="CC275" s="28"/>
      <c r="CD275" s="28"/>
      <c r="CE275" s="28"/>
      <c r="CF275" s="28"/>
      <c r="CG275" s="28"/>
    </row>
    <row r="276" spans="1:85" ht="12.75" x14ac:dyDescent="0.2">
      <c r="A276" s="28"/>
      <c r="B276" s="28"/>
      <c r="C276" s="28"/>
      <c r="D276" s="28"/>
      <c r="E276" s="28"/>
      <c r="F276" s="28"/>
      <c r="G276" s="28"/>
      <c r="H276" s="28"/>
      <c r="I276" s="28"/>
      <c r="J276" s="28"/>
      <c r="K276" s="36"/>
      <c r="L276" s="28"/>
      <c r="M276" s="28"/>
      <c r="N276" s="28"/>
      <c r="O276" s="28"/>
      <c r="P276" s="28"/>
      <c r="Q276" s="36"/>
      <c r="R276" s="36"/>
      <c r="S276" s="36"/>
      <c r="T276" s="36"/>
      <c r="U276" s="36"/>
      <c r="V276" s="36"/>
      <c r="W276" s="36"/>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c r="BW276" s="28"/>
      <c r="BX276" s="28"/>
      <c r="BY276" s="28"/>
      <c r="BZ276" s="28"/>
      <c r="CA276" s="28"/>
      <c r="CB276" s="28"/>
      <c r="CC276" s="28"/>
      <c r="CD276" s="28"/>
      <c r="CE276" s="28"/>
      <c r="CF276" s="28"/>
      <c r="CG276" s="28"/>
    </row>
    <row r="277" spans="1:85" ht="12.75" x14ac:dyDescent="0.2">
      <c r="A277" s="28"/>
      <c r="B277" s="28"/>
      <c r="C277" s="28"/>
      <c r="D277" s="28"/>
      <c r="E277" s="28"/>
      <c r="F277" s="28"/>
      <c r="G277" s="28"/>
      <c r="H277" s="28"/>
      <c r="I277" s="28"/>
      <c r="J277" s="28"/>
      <c r="K277" s="36"/>
      <c r="L277" s="28"/>
      <c r="M277" s="28"/>
      <c r="N277" s="28"/>
      <c r="O277" s="28"/>
      <c r="P277" s="28"/>
      <c r="Q277" s="36"/>
      <c r="R277" s="36"/>
      <c r="S277" s="36"/>
      <c r="T277" s="36"/>
      <c r="U277" s="36"/>
      <c r="V277" s="36"/>
      <c r="W277" s="36"/>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c r="BW277" s="28"/>
      <c r="BX277" s="28"/>
      <c r="BY277" s="28"/>
      <c r="BZ277" s="28"/>
      <c r="CA277" s="28"/>
      <c r="CB277" s="28"/>
      <c r="CC277" s="28"/>
      <c r="CD277" s="28"/>
      <c r="CE277" s="28"/>
      <c r="CF277" s="28"/>
      <c r="CG277" s="28"/>
    </row>
    <row r="278" spans="1:85" ht="12.75" x14ac:dyDescent="0.2">
      <c r="A278" s="28"/>
      <c r="B278" s="28"/>
      <c r="C278" s="28"/>
      <c r="D278" s="28"/>
      <c r="E278" s="28"/>
      <c r="F278" s="28"/>
      <c r="G278" s="28"/>
      <c r="H278" s="28"/>
      <c r="I278" s="28"/>
      <c r="J278" s="28"/>
      <c r="K278" s="36"/>
      <c r="L278" s="28"/>
      <c r="M278" s="28"/>
      <c r="N278" s="28"/>
      <c r="O278" s="28"/>
      <c r="P278" s="28"/>
      <c r="Q278" s="36"/>
      <c r="R278" s="36"/>
      <c r="S278" s="36"/>
      <c r="T278" s="36"/>
      <c r="U278" s="36"/>
      <c r="V278" s="36"/>
      <c r="W278" s="36"/>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c r="BZ278" s="28"/>
      <c r="CA278" s="28"/>
      <c r="CB278" s="28"/>
      <c r="CC278" s="28"/>
      <c r="CD278" s="28"/>
      <c r="CE278" s="28"/>
      <c r="CF278" s="28"/>
      <c r="CG278" s="28"/>
    </row>
    <row r="279" spans="1:85" ht="12.75" x14ac:dyDescent="0.2">
      <c r="A279" s="28"/>
      <c r="B279" s="28"/>
      <c r="C279" s="28"/>
      <c r="D279" s="28"/>
      <c r="E279" s="28"/>
      <c r="F279" s="28"/>
      <c r="G279" s="28"/>
      <c r="H279" s="28"/>
      <c r="I279" s="28"/>
      <c r="J279" s="28"/>
      <c r="K279" s="36"/>
      <c r="L279" s="28"/>
      <c r="M279" s="28"/>
      <c r="N279" s="28"/>
      <c r="O279" s="28"/>
      <c r="P279" s="28"/>
      <c r="Q279" s="36"/>
      <c r="R279" s="36"/>
      <c r="S279" s="36"/>
      <c r="T279" s="36"/>
      <c r="U279" s="36"/>
      <c r="V279" s="36"/>
      <c r="W279" s="36"/>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c r="BR279" s="28"/>
      <c r="BS279" s="28"/>
      <c r="BT279" s="28"/>
      <c r="BU279" s="28"/>
      <c r="BV279" s="28"/>
      <c r="BW279" s="28"/>
      <c r="BX279" s="28"/>
      <c r="BY279" s="28"/>
      <c r="BZ279" s="28"/>
      <c r="CA279" s="28"/>
      <c r="CB279" s="28"/>
      <c r="CC279" s="28"/>
      <c r="CD279" s="28"/>
      <c r="CE279" s="28"/>
      <c r="CF279" s="28"/>
      <c r="CG279" s="28"/>
    </row>
    <row r="280" spans="1:85" ht="12.75" x14ac:dyDescent="0.2">
      <c r="A280" s="28"/>
      <c r="B280" s="28"/>
      <c r="C280" s="28"/>
      <c r="D280" s="28"/>
      <c r="E280" s="28"/>
      <c r="F280" s="28"/>
      <c r="G280" s="28"/>
      <c r="H280" s="28"/>
      <c r="I280" s="28"/>
      <c r="J280" s="28"/>
      <c r="K280" s="36"/>
      <c r="L280" s="28"/>
      <c r="M280" s="28"/>
      <c r="N280" s="28"/>
      <c r="O280" s="28"/>
      <c r="P280" s="28"/>
      <c r="Q280" s="36"/>
      <c r="R280" s="36"/>
      <c r="S280" s="36"/>
      <c r="T280" s="36"/>
      <c r="U280" s="36"/>
      <c r="V280" s="36"/>
      <c r="W280" s="36"/>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c r="BW280" s="28"/>
      <c r="BX280" s="28"/>
      <c r="BY280" s="28"/>
      <c r="BZ280" s="28"/>
      <c r="CA280" s="28"/>
      <c r="CB280" s="28"/>
      <c r="CC280" s="28"/>
      <c r="CD280" s="28"/>
      <c r="CE280" s="28"/>
      <c r="CF280" s="28"/>
      <c r="CG280" s="28"/>
    </row>
    <row r="281" spans="1:85" ht="12.75" x14ac:dyDescent="0.2">
      <c r="A281" s="28"/>
      <c r="B281" s="28"/>
      <c r="C281" s="28"/>
      <c r="D281" s="28"/>
      <c r="E281" s="28"/>
      <c r="F281" s="28"/>
      <c r="G281" s="28"/>
      <c r="H281" s="28"/>
      <c r="I281" s="28"/>
      <c r="J281" s="28"/>
      <c r="K281" s="36"/>
      <c r="L281" s="28"/>
      <c r="M281" s="28"/>
      <c r="N281" s="28"/>
      <c r="O281" s="28"/>
      <c r="P281" s="28"/>
      <c r="Q281" s="36"/>
      <c r="R281" s="36"/>
      <c r="S281" s="36"/>
      <c r="T281" s="36"/>
      <c r="U281" s="36"/>
      <c r="V281" s="36"/>
      <c r="W281" s="36"/>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c r="BR281" s="28"/>
      <c r="BS281" s="28"/>
      <c r="BT281" s="28"/>
      <c r="BU281" s="28"/>
      <c r="BV281" s="28"/>
      <c r="BW281" s="28"/>
      <c r="BX281" s="28"/>
      <c r="BY281" s="28"/>
      <c r="BZ281" s="28"/>
      <c r="CA281" s="28"/>
      <c r="CB281" s="28"/>
      <c r="CC281" s="28"/>
      <c r="CD281" s="28"/>
      <c r="CE281" s="28"/>
      <c r="CF281" s="28"/>
      <c r="CG281" s="28"/>
    </row>
    <row r="282" spans="1:85" ht="12.75" x14ac:dyDescent="0.2">
      <c r="A282" s="28"/>
      <c r="B282" s="28"/>
      <c r="C282" s="28"/>
      <c r="D282" s="28"/>
      <c r="E282" s="28"/>
      <c r="F282" s="28"/>
      <c r="G282" s="28"/>
      <c r="H282" s="28"/>
      <c r="I282" s="28"/>
      <c r="J282" s="28"/>
      <c r="K282" s="36"/>
      <c r="L282" s="28"/>
      <c r="M282" s="28"/>
      <c r="N282" s="28"/>
      <c r="O282" s="28"/>
      <c r="P282" s="28"/>
      <c r="Q282" s="36"/>
      <c r="R282" s="36"/>
      <c r="S282" s="36"/>
      <c r="T282" s="36"/>
      <c r="U282" s="36"/>
      <c r="V282" s="36"/>
      <c r="W282" s="36"/>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c r="BW282" s="28"/>
      <c r="BX282" s="28"/>
      <c r="BY282" s="28"/>
      <c r="BZ282" s="28"/>
      <c r="CA282" s="28"/>
      <c r="CB282" s="28"/>
      <c r="CC282" s="28"/>
      <c r="CD282" s="28"/>
      <c r="CE282" s="28"/>
      <c r="CF282" s="28"/>
      <c r="CG282" s="28"/>
    </row>
    <row r="283" spans="1:85" ht="12.75" x14ac:dyDescent="0.2">
      <c r="A283" s="28"/>
      <c r="B283" s="28"/>
      <c r="C283" s="28"/>
      <c r="D283" s="28"/>
      <c r="E283" s="28"/>
      <c r="F283" s="28"/>
      <c r="G283" s="28"/>
      <c r="H283" s="28"/>
      <c r="I283" s="28"/>
      <c r="J283" s="28"/>
      <c r="K283" s="36"/>
      <c r="L283" s="28"/>
      <c r="M283" s="28"/>
      <c r="N283" s="28"/>
      <c r="O283" s="28"/>
      <c r="P283" s="28"/>
      <c r="Q283" s="36"/>
      <c r="R283" s="36"/>
      <c r="S283" s="36"/>
      <c r="T283" s="36"/>
      <c r="U283" s="36"/>
      <c r="V283" s="36"/>
      <c r="W283" s="36"/>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c r="BW283" s="28"/>
      <c r="BX283" s="28"/>
      <c r="BY283" s="28"/>
      <c r="BZ283" s="28"/>
      <c r="CA283" s="28"/>
      <c r="CB283" s="28"/>
      <c r="CC283" s="28"/>
      <c r="CD283" s="28"/>
      <c r="CE283" s="28"/>
      <c r="CF283" s="28"/>
      <c r="CG283" s="28"/>
    </row>
    <row r="284" spans="1:85" ht="12.75" x14ac:dyDescent="0.2">
      <c r="A284" s="28"/>
      <c r="B284" s="28"/>
      <c r="C284" s="28"/>
      <c r="D284" s="28"/>
      <c r="E284" s="28"/>
      <c r="F284" s="28"/>
      <c r="G284" s="28"/>
      <c r="H284" s="28"/>
      <c r="I284" s="28"/>
      <c r="J284" s="28"/>
      <c r="K284" s="36"/>
      <c r="L284" s="28"/>
      <c r="M284" s="28"/>
      <c r="N284" s="28"/>
      <c r="O284" s="28"/>
      <c r="P284" s="28"/>
      <c r="Q284" s="36"/>
      <c r="R284" s="36"/>
      <c r="S284" s="36"/>
      <c r="T284" s="36"/>
      <c r="U284" s="36"/>
      <c r="V284" s="36"/>
      <c r="W284" s="36"/>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c r="BW284" s="28"/>
      <c r="BX284" s="28"/>
      <c r="BY284" s="28"/>
      <c r="BZ284" s="28"/>
      <c r="CA284" s="28"/>
      <c r="CB284" s="28"/>
      <c r="CC284" s="28"/>
      <c r="CD284" s="28"/>
      <c r="CE284" s="28"/>
      <c r="CF284" s="28"/>
      <c r="CG284" s="28"/>
    </row>
    <row r="285" spans="1:85" ht="12.75" x14ac:dyDescent="0.2">
      <c r="A285" s="28"/>
      <c r="B285" s="28"/>
      <c r="C285" s="28"/>
      <c r="D285" s="28"/>
      <c r="E285" s="28"/>
      <c r="F285" s="28"/>
      <c r="G285" s="28"/>
      <c r="H285" s="28"/>
      <c r="I285" s="28"/>
      <c r="J285" s="28"/>
      <c r="K285" s="36"/>
      <c r="L285" s="28"/>
      <c r="M285" s="28"/>
      <c r="N285" s="28"/>
      <c r="O285" s="28"/>
      <c r="P285" s="28"/>
      <c r="Q285" s="36"/>
      <c r="R285" s="36"/>
      <c r="S285" s="36"/>
      <c r="T285" s="36"/>
      <c r="U285" s="36"/>
      <c r="V285" s="36"/>
      <c r="W285" s="36"/>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c r="BR285" s="28"/>
      <c r="BS285" s="28"/>
      <c r="BT285" s="28"/>
      <c r="BU285" s="28"/>
      <c r="BV285" s="28"/>
      <c r="BW285" s="28"/>
      <c r="BX285" s="28"/>
      <c r="BY285" s="28"/>
      <c r="BZ285" s="28"/>
      <c r="CA285" s="28"/>
      <c r="CB285" s="28"/>
      <c r="CC285" s="28"/>
      <c r="CD285" s="28"/>
      <c r="CE285" s="28"/>
      <c r="CF285" s="28"/>
      <c r="CG285" s="28"/>
    </row>
    <row r="286" spans="1:85" ht="12.75" x14ac:dyDescent="0.2">
      <c r="A286" s="28"/>
      <c r="B286" s="28"/>
      <c r="C286" s="28"/>
      <c r="D286" s="28"/>
      <c r="E286" s="28"/>
      <c r="F286" s="28"/>
      <c r="G286" s="28"/>
      <c r="H286" s="28"/>
      <c r="I286" s="28"/>
      <c r="J286" s="28"/>
      <c r="K286" s="36"/>
      <c r="L286" s="28"/>
      <c r="M286" s="28"/>
      <c r="N286" s="28"/>
      <c r="O286" s="28"/>
      <c r="P286" s="28"/>
      <c r="Q286" s="36"/>
      <c r="R286" s="36"/>
      <c r="S286" s="36"/>
      <c r="T286" s="36"/>
      <c r="U286" s="36"/>
      <c r="V286" s="36"/>
      <c r="W286" s="36"/>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c r="BW286" s="28"/>
      <c r="BX286" s="28"/>
      <c r="BY286" s="28"/>
      <c r="BZ286" s="28"/>
      <c r="CA286" s="28"/>
      <c r="CB286" s="28"/>
      <c r="CC286" s="28"/>
      <c r="CD286" s="28"/>
      <c r="CE286" s="28"/>
      <c r="CF286" s="28"/>
      <c r="CG286" s="28"/>
    </row>
    <row r="287" spans="1:85" ht="12.75" x14ac:dyDescent="0.2">
      <c r="A287" s="28"/>
      <c r="B287" s="28"/>
      <c r="C287" s="28"/>
      <c r="D287" s="28"/>
      <c r="E287" s="28"/>
      <c r="F287" s="28"/>
      <c r="G287" s="28"/>
      <c r="H287" s="28"/>
      <c r="I287" s="28"/>
      <c r="J287" s="28"/>
      <c r="K287" s="36"/>
      <c r="L287" s="28"/>
      <c r="M287" s="28"/>
      <c r="N287" s="28"/>
      <c r="O287" s="28"/>
      <c r="P287" s="28"/>
      <c r="Q287" s="36"/>
      <c r="R287" s="36"/>
      <c r="S287" s="36"/>
      <c r="T287" s="36"/>
      <c r="U287" s="36"/>
      <c r="V287" s="36"/>
      <c r="W287" s="36"/>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c r="BR287" s="28"/>
      <c r="BS287" s="28"/>
      <c r="BT287" s="28"/>
      <c r="BU287" s="28"/>
      <c r="BV287" s="28"/>
      <c r="BW287" s="28"/>
      <c r="BX287" s="28"/>
      <c r="BY287" s="28"/>
      <c r="BZ287" s="28"/>
      <c r="CA287" s="28"/>
      <c r="CB287" s="28"/>
      <c r="CC287" s="28"/>
      <c r="CD287" s="28"/>
      <c r="CE287" s="28"/>
      <c r="CF287" s="28"/>
      <c r="CG287" s="28"/>
    </row>
    <row r="288" spans="1:85" ht="12.75" x14ac:dyDescent="0.2">
      <c r="A288" s="28"/>
      <c r="B288" s="28"/>
      <c r="C288" s="28"/>
      <c r="D288" s="28"/>
      <c r="E288" s="28"/>
      <c r="F288" s="28"/>
      <c r="G288" s="28"/>
      <c r="H288" s="28"/>
      <c r="I288" s="28"/>
      <c r="J288" s="28"/>
      <c r="K288" s="36"/>
      <c r="L288" s="28"/>
      <c r="M288" s="28"/>
      <c r="N288" s="28"/>
      <c r="O288" s="28"/>
      <c r="P288" s="28"/>
      <c r="Q288" s="36"/>
      <c r="R288" s="36"/>
      <c r="S288" s="36"/>
      <c r="T288" s="36"/>
      <c r="U288" s="36"/>
      <c r="V288" s="36"/>
      <c r="W288" s="36"/>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c r="BZ288" s="28"/>
      <c r="CA288" s="28"/>
      <c r="CB288" s="28"/>
      <c r="CC288" s="28"/>
      <c r="CD288" s="28"/>
      <c r="CE288" s="28"/>
      <c r="CF288" s="28"/>
      <c r="CG288" s="28"/>
    </row>
    <row r="289" spans="1:85" ht="12.75" x14ac:dyDescent="0.2">
      <c r="A289" s="28"/>
      <c r="B289" s="28"/>
      <c r="C289" s="28"/>
      <c r="D289" s="28"/>
      <c r="E289" s="28"/>
      <c r="F289" s="28"/>
      <c r="G289" s="28"/>
      <c r="H289" s="28"/>
      <c r="I289" s="28"/>
      <c r="J289" s="28"/>
      <c r="K289" s="36"/>
      <c r="L289" s="28"/>
      <c r="M289" s="28"/>
      <c r="N289" s="28"/>
      <c r="O289" s="28"/>
      <c r="P289" s="28"/>
      <c r="Q289" s="36"/>
      <c r="R289" s="36"/>
      <c r="S289" s="36"/>
      <c r="T289" s="36"/>
      <c r="U289" s="36"/>
      <c r="V289" s="36"/>
      <c r="W289" s="36"/>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c r="BR289" s="28"/>
      <c r="BS289" s="28"/>
      <c r="BT289" s="28"/>
      <c r="BU289" s="28"/>
      <c r="BV289" s="28"/>
      <c r="BW289" s="28"/>
      <c r="BX289" s="28"/>
      <c r="BY289" s="28"/>
      <c r="BZ289" s="28"/>
      <c r="CA289" s="28"/>
      <c r="CB289" s="28"/>
      <c r="CC289" s="28"/>
      <c r="CD289" s="28"/>
      <c r="CE289" s="28"/>
      <c r="CF289" s="28"/>
      <c r="CG289" s="28"/>
    </row>
    <row r="290" spans="1:85" ht="12.75" x14ac:dyDescent="0.2">
      <c r="A290" s="28"/>
      <c r="B290" s="28"/>
      <c r="C290" s="28"/>
      <c r="D290" s="28"/>
      <c r="E290" s="28"/>
      <c r="F290" s="28"/>
      <c r="G290" s="28"/>
      <c r="H290" s="28"/>
      <c r="I290" s="28"/>
      <c r="J290" s="28"/>
      <c r="K290" s="36"/>
      <c r="L290" s="28"/>
      <c r="M290" s="28"/>
      <c r="N290" s="28"/>
      <c r="O290" s="28"/>
      <c r="P290" s="28"/>
      <c r="Q290" s="36"/>
      <c r="R290" s="36"/>
      <c r="S290" s="36"/>
      <c r="T290" s="36"/>
      <c r="U290" s="36"/>
      <c r="V290" s="36"/>
      <c r="W290" s="36"/>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row>
    <row r="291" spans="1:85" ht="12.75" x14ac:dyDescent="0.2">
      <c r="A291" s="28"/>
      <c r="B291" s="28"/>
      <c r="C291" s="28"/>
      <c r="D291" s="28"/>
      <c r="E291" s="28"/>
      <c r="F291" s="28"/>
      <c r="G291" s="28"/>
      <c r="H291" s="28"/>
      <c r="I291" s="28"/>
      <c r="J291" s="28"/>
      <c r="K291" s="36"/>
      <c r="L291" s="28"/>
      <c r="M291" s="28"/>
      <c r="N291" s="28"/>
      <c r="O291" s="28"/>
      <c r="P291" s="28"/>
      <c r="Q291" s="36"/>
      <c r="R291" s="36"/>
      <c r="S291" s="36"/>
      <c r="T291" s="36"/>
      <c r="U291" s="36"/>
      <c r="V291" s="36"/>
      <c r="W291" s="36"/>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c r="BR291" s="28"/>
      <c r="BS291" s="28"/>
      <c r="BT291" s="28"/>
      <c r="BU291" s="28"/>
      <c r="BV291" s="28"/>
      <c r="BW291" s="28"/>
      <c r="BX291" s="28"/>
      <c r="BY291" s="28"/>
      <c r="BZ291" s="28"/>
      <c r="CA291" s="28"/>
      <c r="CB291" s="28"/>
      <c r="CC291" s="28"/>
      <c r="CD291" s="28"/>
      <c r="CE291" s="28"/>
      <c r="CF291" s="28"/>
      <c r="CG291" s="28"/>
    </row>
    <row r="292" spans="1:85" ht="12.75" x14ac:dyDescent="0.2">
      <c r="A292" s="28"/>
      <c r="B292" s="28"/>
      <c r="C292" s="28"/>
      <c r="D292" s="28"/>
      <c r="E292" s="28"/>
      <c r="F292" s="28"/>
      <c r="G292" s="28"/>
      <c r="H292" s="28"/>
      <c r="I292" s="28"/>
      <c r="J292" s="28"/>
      <c r="K292" s="36"/>
      <c r="L292" s="28"/>
      <c r="M292" s="28"/>
      <c r="N292" s="28"/>
      <c r="O292" s="28"/>
      <c r="P292" s="28"/>
      <c r="Q292" s="36"/>
      <c r="R292" s="36"/>
      <c r="S292" s="36"/>
      <c r="T292" s="36"/>
      <c r="U292" s="36"/>
      <c r="V292" s="36"/>
      <c r="W292" s="36"/>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c r="BW292" s="28"/>
      <c r="BX292" s="28"/>
      <c r="BY292" s="28"/>
      <c r="BZ292" s="28"/>
      <c r="CA292" s="28"/>
      <c r="CB292" s="28"/>
      <c r="CC292" s="28"/>
      <c r="CD292" s="28"/>
      <c r="CE292" s="28"/>
      <c r="CF292" s="28"/>
      <c r="CG292" s="28"/>
    </row>
    <row r="293" spans="1:85" ht="12.75" x14ac:dyDescent="0.2">
      <c r="A293" s="28"/>
      <c r="B293" s="28"/>
      <c r="C293" s="28"/>
      <c r="D293" s="28"/>
      <c r="E293" s="28"/>
      <c r="F293" s="28"/>
      <c r="G293" s="28"/>
      <c r="H293" s="28"/>
      <c r="I293" s="28"/>
      <c r="J293" s="28"/>
      <c r="K293" s="36"/>
      <c r="L293" s="28"/>
      <c r="M293" s="28"/>
      <c r="N293" s="28"/>
      <c r="O293" s="28"/>
      <c r="P293" s="28"/>
      <c r="Q293" s="36"/>
      <c r="R293" s="36"/>
      <c r="S293" s="36"/>
      <c r="T293" s="36"/>
      <c r="U293" s="36"/>
      <c r="V293" s="36"/>
      <c r="W293" s="36"/>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c r="BR293" s="28"/>
      <c r="BS293" s="28"/>
      <c r="BT293" s="28"/>
      <c r="BU293" s="28"/>
      <c r="BV293" s="28"/>
      <c r="BW293" s="28"/>
      <c r="BX293" s="28"/>
      <c r="BY293" s="28"/>
      <c r="BZ293" s="28"/>
      <c r="CA293" s="28"/>
      <c r="CB293" s="28"/>
      <c r="CC293" s="28"/>
      <c r="CD293" s="28"/>
      <c r="CE293" s="28"/>
      <c r="CF293" s="28"/>
      <c r="CG293" s="28"/>
    </row>
    <row r="294" spans="1:85" ht="12.75" x14ac:dyDescent="0.2">
      <c r="A294" s="28"/>
      <c r="B294" s="28"/>
      <c r="C294" s="28"/>
      <c r="D294" s="28"/>
      <c r="E294" s="28"/>
      <c r="F294" s="28"/>
      <c r="G294" s="28"/>
      <c r="H294" s="28"/>
      <c r="I294" s="28"/>
      <c r="J294" s="28"/>
      <c r="K294" s="36"/>
      <c r="L294" s="28"/>
      <c r="M294" s="28"/>
      <c r="N294" s="28"/>
      <c r="O294" s="28"/>
      <c r="P294" s="28"/>
      <c r="Q294" s="36"/>
      <c r="R294" s="36"/>
      <c r="S294" s="36"/>
      <c r="T294" s="36"/>
      <c r="U294" s="36"/>
      <c r="V294" s="36"/>
      <c r="W294" s="36"/>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28"/>
      <c r="BX294" s="28"/>
      <c r="BY294" s="28"/>
      <c r="BZ294" s="28"/>
      <c r="CA294" s="28"/>
      <c r="CB294" s="28"/>
      <c r="CC294" s="28"/>
      <c r="CD294" s="28"/>
      <c r="CE294" s="28"/>
      <c r="CF294" s="28"/>
      <c r="CG294" s="28"/>
    </row>
    <row r="295" spans="1:85" ht="12.75" x14ac:dyDescent="0.2">
      <c r="A295" s="28"/>
      <c r="B295" s="28"/>
      <c r="C295" s="28"/>
      <c r="D295" s="28"/>
      <c r="E295" s="28"/>
      <c r="F295" s="28"/>
      <c r="G295" s="28"/>
      <c r="H295" s="28"/>
      <c r="I295" s="28"/>
      <c r="J295" s="28"/>
      <c r="K295" s="36"/>
      <c r="L295" s="28"/>
      <c r="M295" s="28"/>
      <c r="N295" s="28"/>
      <c r="O295" s="28"/>
      <c r="P295" s="28"/>
      <c r="Q295" s="36"/>
      <c r="R295" s="36"/>
      <c r="S295" s="36"/>
      <c r="T295" s="36"/>
      <c r="U295" s="36"/>
      <c r="V295" s="36"/>
      <c r="W295" s="36"/>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c r="BR295" s="28"/>
      <c r="BS295" s="28"/>
      <c r="BT295" s="28"/>
      <c r="BU295" s="28"/>
      <c r="BV295" s="28"/>
      <c r="BW295" s="28"/>
      <c r="BX295" s="28"/>
      <c r="BY295" s="28"/>
      <c r="BZ295" s="28"/>
      <c r="CA295" s="28"/>
      <c r="CB295" s="28"/>
      <c r="CC295" s="28"/>
      <c r="CD295" s="28"/>
      <c r="CE295" s="28"/>
      <c r="CF295" s="28"/>
      <c r="CG295" s="28"/>
    </row>
    <row r="296" spans="1:85" ht="12.75" x14ac:dyDescent="0.2">
      <c r="A296" s="28"/>
      <c r="B296" s="28"/>
      <c r="C296" s="28"/>
      <c r="D296" s="28"/>
      <c r="E296" s="28"/>
      <c r="F296" s="28"/>
      <c r="G296" s="28"/>
      <c r="H296" s="28"/>
      <c r="I296" s="28"/>
      <c r="J296" s="28"/>
      <c r="K296" s="36"/>
      <c r="L296" s="28"/>
      <c r="M296" s="28"/>
      <c r="N296" s="28"/>
      <c r="O296" s="28"/>
      <c r="P296" s="28"/>
      <c r="Q296" s="36"/>
      <c r="R296" s="36"/>
      <c r="S296" s="36"/>
      <c r="T296" s="36"/>
      <c r="U296" s="36"/>
      <c r="V296" s="36"/>
      <c r="W296" s="36"/>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c r="BW296" s="28"/>
      <c r="BX296" s="28"/>
      <c r="BY296" s="28"/>
      <c r="BZ296" s="28"/>
      <c r="CA296" s="28"/>
      <c r="CB296" s="28"/>
      <c r="CC296" s="28"/>
      <c r="CD296" s="28"/>
      <c r="CE296" s="28"/>
      <c r="CF296" s="28"/>
      <c r="CG296" s="28"/>
    </row>
    <row r="297" spans="1:85" ht="12.75" x14ac:dyDescent="0.2">
      <c r="A297" s="28"/>
      <c r="B297" s="28"/>
      <c r="C297" s="28"/>
      <c r="D297" s="28"/>
      <c r="E297" s="28"/>
      <c r="F297" s="28"/>
      <c r="G297" s="28"/>
      <c r="H297" s="28"/>
      <c r="I297" s="28"/>
      <c r="J297" s="28"/>
      <c r="K297" s="36"/>
      <c r="L297" s="28"/>
      <c r="M297" s="28"/>
      <c r="N297" s="28"/>
      <c r="O297" s="28"/>
      <c r="P297" s="28"/>
      <c r="Q297" s="36"/>
      <c r="R297" s="36"/>
      <c r="S297" s="36"/>
      <c r="T297" s="36"/>
      <c r="U297" s="36"/>
      <c r="V297" s="36"/>
      <c r="W297" s="36"/>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c r="BR297" s="28"/>
      <c r="BS297" s="28"/>
      <c r="BT297" s="28"/>
      <c r="BU297" s="28"/>
      <c r="BV297" s="28"/>
      <c r="BW297" s="28"/>
      <c r="BX297" s="28"/>
      <c r="BY297" s="28"/>
      <c r="BZ297" s="28"/>
      <c r="CA297" s="28"/>
      <c r="CB297" s="28"/>
      <c r="CC297" s="28"/>
      <c r="CD297" s="28"/>
      <c r="CE297" s="28"/>
      <c r="CF297" s="28"/>
      <c r="CG297" s="28"/>
    </row>
    <row r="298" spans="1:85" ht="12.75" x14ac:dyDescent="0.2">
      <c r="A298" s="28"/>
      <c r="B298" s="28"/>
      <c r="C298" s="28"/>
      <c r="D298" s="28"/>
      <c r="E298" s="28"/>
      <c r="F298" s="28"/>
      <c r="G298" s="28"/>
      <c r="H298" s="28"/>
      <c r="I298" s="28"/>
      <c r="J298" s="28"/>
      <c r="K298" s="36"/>
      <c r="L298" s="28"/>
      <c r="M298" s="28"/>
      <c r="N298" s="28"/>
      <c r="O298" s="28"/>
      <c r="P298" s="28"/>
      <c r="Q298" s="36"/>
      <c r="R298" s="36"/>
      <c r="S298" s="36"/>
      <c r="T298" s="36"/>
      <c r="U298" s="36"/>
      <c r="V298" s="36"/>
      <c r="W298" s="36"/>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c r="BW298" s="28"/>
      <c r="BX298" s="28"/>
      <c r="BY298" s="28"/>
      <c r="BZ298" s="28"/>
      <c r="CA298" s="28"/>
      <c r="CB298" s="28"/>
      <c r="CC298" s="28"/>
      <c r="CD298" s="28"/>
      <c r="CE298" s="28"/>
      <c r="CF298" s="28"/>
      <c r="CG298" s="28"/>
    </row>
    <row r="299" spans="1:85" ht="12.75" x14ac:dyDescent="0.2">
      <c r="A299" s="28"/>
      <c r="B299" s="28"/>
      <c r="C299" s="28"/>
      <c r="D299" s="28"/>
      <c r="E299" s="28"/>
      <c r="F299" s="28"/>
      <c r="G299" s="28"/>
      <c r="H299" s="28"/>
      <c r="I299" s="28"/>
      <c r="J299" s="28"/>
      <c r="K299" s="36"/>
      <c r="L299" s="28"/>
      <c r="M299" s="28"/>
      <c r="N299" s="28"/>
      <c r="O299" s="28"/>
      <c r="P299" s="28"/>
      <c r="Q299" s="36"/>
      <c r="R299" s="36"/>
      <c r="S299" s="36"/>
      <c r="T299" s="36"/>
      <c r="U299" s="36"/>
      <c r="V299" s="36"/>
      <c r="W299" s="36"/>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c r="BR299" s="28"/>
      <c r="BS299" s="28"/>
      <c r="BT299" s="28"/>
      <c r="BU299" s="28"/>
      <c r="BV299" s="28"/>
      <c r="BW299" s="28"/>
      <c r="BX299" s="28"/>
      <c r="BY299" s="28"/>
      <c r="BZ299" s="28"/>
      <c r="CA299" s="28"/>
      <c r="CB299" s="28"/>
      <c r="CC299" s="28"/>
      <c r="CD299" s="28"/>
      <c r="CE299" s="28"/>
      <c r="CF299" s="28"/>
      <c r="CG299" s="28"/>
    </row>
    <row r="300" spans="1:85" ht="12.75" x14ac:dyDescent="0.2">
      <c r="A300" s="28"/>
      <c r="B300" s="28"/>
      <c r="C300" s="28"/>
      <c r="D300" s="28"/>
      <c r="E300" s="28"/>
      <c r="F300" s="28"/>
      <c r="G300" s="28"/>
      <c r="H300" s="28"/>
      <c r="I300" s="28"/>
      <c r="J300" s="28"/>
      <c r="K300" s="36"/>
      <c r="L300" s="28"/>
      <c r="M300" s="28"/>
      <c r="N300" s="28"/>
      <c r="O300" s="28"/>
      <c r="P300" s="28"/>
      <c r="Q300" s="36"/>
      <c r="R300" s="36"/>
      <c r="S300" s="36"/>
      <c r="T300" s="36"/>
      <c r="U300" s="36"/>
      <c r="V300" s="36"/>
      <c r="W300" s="36"/>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c r="BW300" s="28"/>
      <c r="BX300" s="28"/>
      <c r="BY300" s="28"/>
      <c r="BZ300" s="28"/>
      <c r="CA300" s="28"/>
      <c r="CB300" s="28"/>
      <c r="CC300" s="28"/>
      <c r="CD300" s="28"/>
      <c r="CE300" s="28"/>
      <c r="CF300" s="28"/>
      <c r="CG300" s="28"/>
    </row>
    <row r="301" spans="1:85" ht="12.75" x14ac:dyDescent="0.2">
      <c r="A301" s="28"/>
      <c r="B301" s="28"/>
      <c r="C301" s="28"/>
      <c r="D301" s="28"/>
      <c r="E301" s="28"/>
      <c r="F301" s="28"/>
      <c r="G301" s="28"/>
      <c r="H301" s="28"/>
      <c r="I301" s="28"/>
      <c r="J301" s="28"/>
      <c r="K301" s="36"/>
      <c r="L301" s="28"/>
      <c r="M301" s="28"/>
      <c r="N301" s="28"/>
      <c r="O301" s="28"/>
      <c r="P301" s="28"/>
      <c r="Q301" s="36"/>
      <c r="R301" s="36"/>
      <c r="S301" s="36"/>
      <c r="T301" s="36"/>
      <c r="U301" s="36"/>
      <c r="V301" s="36"/>
      <c r="W301" s="36"/>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c r="BR301" s="28"/>
      <c r="BS301" s="28"/>
      <c r="BT301" s="28"/>
      <c r="BU301" s="28"/>
      <c r="BV301" s="28"/>
      <c r="BW301" s="28"/>
      <c r="BX301" s="28"/>
      <c r="BY301" s="28"/>
      <c r="BZ301" s="28"/>
      <c r="CA301" s="28"/>
      <c r="CB301" s="28"/>
      <c r="CC301" s="28"/>
      <c r="CD301" s="28"/>
      <c r="CE301" s="28"/>
      <c r="CF301" s="28"/>
      <c r="CG301" s="28"/>
    </row>
    <row r="302" spans="1:85" ht="12.75" x14ac:dyDescent="0.2">
      <c r="A302" s="28"/>
      <c r="B302" s="28"/>
      <c r="C302" s="28"/>
      <c r="D302" s="28"/>
      <c r="E302" s="28"/>
      <c r="F302" s="28"/>
      <c r="G302" s="28"/>
      <c r="H302" s="28"/>
      <c r="I302" s="28"/>
      <c r="J302" s="28"/>
      <c r="K302" s="36"/>
      <c r="L302" s="28"/>
      <c r="M302" s="28"/>
      <c r="N302" s="28"/>
      <c r="O302" s="28"/>
      <c r="P302" s="28"/>
      <c r="Q302" s="36"/>
      <c r="R302" s="36"/>
      <c r="S302" s="36"/>
      <c r="T302" s="36"/>
      <c r="U302" s="36"/>
      <c r="V302" s="36"/>
      <c r="W302" s="36"/>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c r="BW302" s="28"/>
      <c r="BX302" s="28"/>
      <c r="BY302" s="28"/>
      <c r="BZ302" s="28"/>
      <c r="CA302" s="28"/>
      <c r="CB302" s="28"/>
      <c r="CC302" s="28"/>
      <c r="CD302" s="28"/>
      <c r="CE302" s="28"/>
      <c r="CF302" s="28"/>
      <c r="CG302" s="28"/>
    </row>
    <row r="303" spans="1:85" ht="12.75" x14ac:dyDescent="0.2">
      <c r="A303" s="28"/>
      <c r="B303" s="28"/>
      <c r="C303" s="28"/>
      <c r="D303" s="28"/>
      <c r="E303" s="28"/>
      <c r="F303" s="28"/>
      <c r="G303" s="28"/>
      <c r="H303" s="28"/>
      <c r="I303" s="28"/>
      <c r="J303" s="28"/>
      <c r="K303" s="36"/>
      <c r="L303" s="28"/>
      <c r="M303" s="28"/>
      <c r="N303" s="28"/>
      <c r="O303" s="28"/>
      <c r="P303" s="28"/>
      <c r="Q303" s="36"/>
      <c r="R303" s="36"/>
      <c r="S303" s="36"/>
      <c r="T303" s="36"/>
      <c r="U303" s="36"/>
      <c r="V303" s="36"/>
      <c r="W303" s="36"/>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c r="BR303" s="28"/>
      <c r="BS303" s="28"/>
      <c r="BT303" s="28"/>
      <c r="BU303" s="28"/>
      <c r="BV303" s="28"/>
      <c r="BW303" s="28"/>
      <c r="BX303" s="28"/>
      <c r="BY303" s="28"/>
      <c r="BZ303" s="28"/>
      <c r="CA303" s="28"/>
      <c r="CB303" s="28"/>
      <c r="CC303" s="28"/>
      <c r="CD303" s="28"/>
      <c r="CE303" s="28"/>
      <c r="CF303" s="28"/>
      <c r="CG303" s="28"/>
    </row>
    <row r="304" spans="1:85" ht="12.75" x14ac:dyDescent="0.2">
      <c r="A304" s="28"/>
      <c r="B304" s="28"/>
      <c r="C304" s="28"/>
      <c r="D304" s="28"/>
      <c r="E304" s="28"/>
      <c r="F304" s="28"/>
      <c r="G304" s="28"/>
      <c r="H304" s="28"/>
      <c r="I304" s="28"/>
      <c r="J304" s="28"/>
      <c r="K304" s="36"/>
      <c r="L304" s="28"/>
      <c r="M304" s="28"/>
      <c r="N304" s="28"/>
      <c r="O304" s="28"/>
      <c r="P304" s="28"/>
      <c r="Q304" s="36"/>
      <c r="R304" s="36"/>
      <c r="S304" s="36"/>
      <c r="T304" s="36"/>
      <c r="U304" s="36"/>
      <c r="V304" s="36"/>
      <c r="W304" s="36"/>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8"/>
      <c r="BY304" s="28"/>
      <c r="BZ304" s="28"/>
      <c r="CA304" s="28"/>
      <c r="CB304" s="28"/>
      <c r="CC304" s="28"/>
      <c r="CD304" s="28"/>
      <c r="CE304" s="28"/>
      <c r="CF304" s="28"/>
      <c r="CG304" s="28"/>
    </row>
    <row r="305" spans="1:85" ht="12.75" x14ac:dyDescent="0.2">
      <c r="A305" s="28"/>
      <c r="B305" s="28"/>
      <c r="C305" s="28"/>
      <c r="D305" s="28"/>
      <c r="E305" s="28"/>
      <c r="F305" s="28"/>
      <c r="G305" s="28"/>
      <c r="H305" s="28"/>
      <c r="I305" s="28"/>
      <c r="J305" s="28"/>
      <c r="K305" s="36"/>
      <c r="L305" s="28"/>
      <c r="M305" s="28"/>
      <c r="N305" s="28"/>
      <c r="O305" s="28"/>
      <c r="P305" s="28"/>
      <c r="Q305" s="36"/>
      <c r="R305" s="36"/>
      <c r="S305" s="36"/>
      <c r="T305" s="36"/>
      <c r="U305" s="36"/>
      <c r="V305" s="36"/>
      <c r="W305" s="36"/>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c r="BR305" s="28"/>
      <c r="BS305" s="28"/>
      <c r="BT305" s="28"/>
      <c r="BU305" s="28"/>
      <c r="BV305" s="28"/>
      <c r="BW305" s="28"/>
      <c r="BX305" s="28"/>
      <c r="BY305" s="28"/>
      <c r="BZ305" s="28"/>
      <c r="CA305" s="28"/>
      <c r="CB305" s="28"/>
      <c r="CC305" s="28"/>
      <c r="CD305" s="28"/>
      <c r="CE305" s="28"/>
      <c r="CF305" s="28"/>
      <c r="CG305" s="28"/>
    </row>
    <row r="306" spans="1:85" ht="12.75" x14ac:dyDescent="0.2">
      <c r="A306" s="28"/>
      <c r="B306" s="28"/>
      <c r="C306" s="28"/>
      <c r="D306" s="28"/>
      <c r="E306" s="28"/>
      <c r="F306" s="28"/>
      <c r="G306" s="28"/>
      <c r="H306" s="28"/>
      <c r="I306" s="28"/>
      <c r="J306" s="28"/>
      <c r="K306" s="36"/>
      <c r="L306" s="28"/>
      <c r="M306" s="28"/>
      <c r="N306" s="28"/>
      <c r="O306" s="28"/>
      <c r="P306" s="28"/>
      <c r="Q306" s="36"/>
      <c r="R306" s="36"/>
      <c r="S306" s="36"/>
      <c r="T306" s="36"/>
      <c r="U306" s="36"/>
      <c r="V306" s="36"/>
      <c r="W306" s="36"/>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c r="BW306" s="28"/>
      <c r="BX306" s="28"/>
      <c r="BY306" s="28"/>
      <c r="BZ306" s="28"/>
      <c r="CA306" s="28"/>
      <c r="CB306" s="28"/>
      <c r="CC306" s="28"/>
      <c r="CD306" s="28"/>
      <c r="CE306" s="28"/>
      <c r="CF306" s="28"/>
      <c r="CG306" s="28"/>
    </row>
    <row r="307" spans="1:85" ht="12.75" x14ac:dyDescent="0.2">
      <c r="A307" s="28"/>
      <c r="B307" s="28"/>
      <c r="C307" s="28"/>
      <c r="D307" s="28"/>
      <c r="E307" s="28"/>
      <c r="F307" s="28"/>
      <c r="G307" s="28"/>
      <c r="H307" s="28"/>
      <c r="I307" s="28"/>
      <c r="J307" s="28"/>
      <c r="K307" s="36"/>
      <c r="L307" s="28"/>
      <c r="M307" s="28"/>
      <c r="N307" s="28"/>
      <c r="O307" s="28"/>
      <c r="P307" s="28"/>
      <c r="Q307" s="36"/>
      <c r="R307" s="36"/>
      <c r="S307" s="36"/>
      <c r="T307" s="36"/>
      <c r="U307" s="36"/>
      <c r="V307" s="36"/>
      <c r="W307" s="36"/>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c r="BR307" s="28"/>
      <c r="BS307" s="28"/>
      <c r="BT307" s="28"/>
      <c r="BU307" s="28"/>
      <c r="BV307" s="28"/>
      <c r="BW307" s="28"/>
      <c r="BX307" s="28"/>
      <c r="BY307" s="28"/>
      <c r="BZ307" s="28"/>
      <c r="CA307" s="28"/>
      <c r="CB307" s="28"/>
      <c r="CC307" s="28"/>
      <c r="CD307" s="28"/>
      <c r="CE307" s="28"/>
      <c r="CF307" s="28"/>
      <c r="CG307" s="28"/>
    </row>
    <row r="308" spans="1:85" ht="12.75" x14ac:dyDescent="0.2">
      <c r="A308" s="28"/>
      <c r="B308" s="28"/>
      <c r="C308" s="28"/>
      <c r="D308" s="28"/>
      <c r="E308" s="28"/>
      <c r="F308" s="28"/>
      <c r="G308" s="28"/>
      <c r="H308" s="28"/>
      <c r="I308" s="28"/>
      <c r="J308" s="28"/>
      <c r="K308" s="36"/>
      <c r="L308" s="28"/>
      <c r="M308" s="28"/>
      <c r="N308" s="28"/>
      <c r="O308" s="28"/>
      <c r="P308" s="28"/>
      <c r="Q308" s="36"/>
      <c r="R308" s="36"/>
      <c r="S308" s="36"/>
      <c r="T308" s="36"/>
      <c r="U308" s="36"/>
      <c r="V308" s="36"/>
      <c r="W308" s="36"/>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c r="BW308" s="28"/>
      <c r="BX308" s="28"/>
      <c r="BY308" s="28"/>
      <c r="BZ308" s="28"/>
      <c r="CA308" s="28"/>
      <c r="CB308" s="28"/>
      <c r="CC308" s="28"/>
      <c r="CD308" s="28"/>
      <c r="CE308" s="28"/>
      <c r="CF308" s="28"/>
      <c r="CG308" s="28"/>
    </row>
    <row r="309" spans="1:85" ht="12.75" x14ac:dyDescent="0.2">
      <c r="A309" s="28"/>
      <c r="B309" s="28"/>
      <c r="C309" s="28"/>
      <c r="D309" s="28"/>
      <c r="E309" s="28"/>
      <c r="F309" s="28"/>
      <c r="G309" s="28"/>
      <c r="H309" s="28"/>
      <c r="I309" s="28"/>
      <c r="J309" s="28"/>
      <c r="K309" s="36"/>
      <c r="L309" s="28"/>
      <c r="M309" s="28"/>
      <c r="N309" s="28"/>
      <c r="O309" s="28"/>
      <c r="P309" s="28"/>
      <c r="Q309" s="36"/>
      <c r="R309" s="36"/>
      <c r="S309" s="36"/>
      <c r="T309" s="36"/>
      <c r="U309" s="36"/>
      <c r="V309" s="36"/>
      <c r="W309" s="36"/>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c r="BR309" s="28"/>
      <c r="BS309" s="28"/>
      <c r="BT309" s="28"/>
      <c r="BU309" s="28"/>
      <c r="BV309" s="28"/>
      <c r="BW309" s="28"/>
      <c r="BX309" s="28"/>
      <c r="BY309" s="28"/>
      <c r="BZ309" s="28"/>
      <c r="CA309" s="28"/>
      <c r="CB309" s="28"/>
      <c r="CC309" s="28"/>
      <c r="CD309" s="28"/>
      <c r="CE309" s="28"/>
      <c r="CF309" s="28"/>
      <c r="CG309" s="28"/>
    </row>
    <row r="310" spans="1:85" ht="12.75" x14ac:dyDescent="0.2">
      <c r="A310" s="28"/>
      <c r="B310" s="28"/>
      <c r="C310" s="28"/>
      <c r="D310" s="28"/>
      <c r="E310" s="28"/>
      <c r="F310" s="28"/>
      <c r="G310" s="28"/>
      <c r="H310" s="28"/>
      <c r="I310" s="28"/>
      <c r="J310" s="28"/>
      <c r="K310" s="36"/>
      <c r="L310" s="28"/>
      <c r="M310" s="28"/>
      <c r="N310" s="28"/>
      <c r="O310" s="28"/>
      <c r="P310" s="28"/>
      <c r="Q310" s="36"/>
      <c r="R310" s="36"/>
      <c r="S310" s="36"/>
      <c r="T310" s="36"/>
      <c r="U310" s="36"/>
      <c r="V310" s="36"/>
      <c r="W310" s="36"/>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c r="BW310" s="28"/>
      <c r="BX310" s="28"/>
      <c r="BY310" s="28"/>
      <c r="BZ310" s="28"/>
      <c r="CA310" s="28"/>
      <c r="CB310" s="28"/>
      <c r="CC310" s="28"/>
      <c r="CD310" s="28"/>
      <c r="CE310" s="28"/>
      <c r="CF310" s="28"/>
      <c r="CG310" s="28"/>
    </row>
    <row r="311" spans="1:85" ht="12.75" x14ac:dyDescent="0.2">
      <c r="A311" s="28"/>
      <c r="B311" s="28"/>
      <c r="C311" s="28"/>
      <c r="D311" s="28"/>
      <c r="E311" s="28"/>
      <c r="F311" s="28"/>
      <c r="G311" s="28"/>
      <c r="H311" s="28"/>
      <c r="I311" s="28"/>
      <c r="J311" s="28"/>
      <c r="K311" s="36"/>
      <c r="L311" s="28"/>
      <c r="M311" s="28"/>
      <c r="N311" s="28"/>
      <c r="O311" s="28"/>
      <c r="P311" s="28"/>
      <c r="Q311" s="36"/>
      <c r="R311" s="36"/>
      <c r="S311" s="36"/>
      <c r="T311" s="36"/>
      <c r="U311" s="36"/>
      <c r="V311" s="36"/>
      <c r="W311" s="36"/>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c r="BR311" s="28"/>
      <c r="BS311" s="28"/>
      <c r="BT311" s="28"/>
      <c r="BU311" s="28"/>
      <c r="BV311" s="28"/>
      <c r="BW311" s="28"/>
      <c r="BX311" s="28"/>
      <c r="BY311" s="28"/>
      <c r="BZ311" s="28"/>
      <c r="CA311" s="28"/>
      <c r="CB311" s="28"/>
      <c r="CC311" s="28"/>
      <c r="CD311" s="28"/>
      <c r="CE311" s="28"/>
      <c r="CF311" s="28"/>
      <c r="CG311" s="28"/>
    </row>
    <row r="312" spans="1:85" ht="12.75" x14ac:dyDescent="0.2">
      <c r="A312" s="28"/>
      <c r="B312" s="28"/>
      <c r="C312" s="28"/>
      <c r="D312" s="28"/>
      <c r="E312" s="28"/>
      <c r="F312" s="28"/>
      <c r="G312" s="28"/>
      <c r="H312" s="28"/>
      <c r="I312" s="28"/>
      <c r="J312" s="28"/>
      <c r="K312" s="36"/>
      <c r="L312" s="28"/>
      <c r="M312" s="28"/>
      <c r="N312" s="28"/>
      <c r="O312" s="28"/>
      <c r="P312" s="28"/>
      <c r="Q312" s="36"/>
      <c r="R312" s="36"/>
      <c r="S312" s="36"/>
      <c r="T312" s="36"/>
      <c r="U312" s="36"/>
      <c r="V312" s="36"/>
      <c r="W312" s="36"/>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c r="BW312" s="28"/>
      <c r="BX312" s="28"/>
      <c r="BY312" s="28"/>
      <c r="BZ312" s="28"/>
      <c r="CA312" s="28"/>
      <c r="CB312" s="28"/>
      <c r="CC312" s="28"/>
      <c r="CD312" s="28"/>
      <c r="CE312" s="28"/>
      <c r="CF312" s="28"/>
      <c r="CG312" s="28"/>
    </row>
    <row r="313" spans="1:85" ht="12.75" x14ac:dyDescent="0.2">
      <c r="A313" s="28"/>
      <c r="B313" s="28"/>
      <c r="C313" s="28"/>
      <c r="D313" s="28"/>
      <c r="E313" s="28"/>
      <c r="F313" s="28"/>
      <c r="G313" s="28"/>
      <c r="H313" s="28"/>
      <c r="I313" s="28"/>
      <c r="J313" s="28"/>
      <c r="K313" s="36"/>
      <c r="L313" s="28"/>
      <c r="M313" s="28"/>
      <c r="N313" s="28"/>
      <c r="O313" s="28"/>
      <c r="P313" s="28"/>
      <c r="Q313" s="36"/>
      <c r="R313" s="36"/>
      <c r="S313" s="36"/>
      <c r="T313" s="36"/>
      <c r="U313" s="36"/>
      <c r="V313" s="36"/>
      <c r="W313" s="36"/>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c r="BR313" s="28"/>
      <c r="BS313" s="28"/>
      <c r="BT313" s="28"/>
      <c r="BU313" s="28"/>
      <c r="BV313" s="28"/>
      <c r="BW313" s="28"/>
      <c r="BX313" s="28"/>
      <c r="BY313" s="28"/>
      <c r="BZ313" s="28"/>
      <c r="CA313" s="28"/>
      <c r="CB313" s="28"/>
      <c r="CC313" s="28"/>
      <c r="CD313" s="28"/>
      <c r="CE313" s="28"/>
      <c r="CF313" s="28"/>
      <c r="CG313" s="28"/>
    </row>
    <row r="314" spans="1:85" ht="12.75" x14ac:dyDescent="0.2">
      <c r="A314" s="28"/>
      <c r="B314" s="28"/>
      <c r="C314" s="28"/>
      <c r="D314" s="28"/>
      <c r="E314" s="28"/>
      <c r="F314" s="28"/>
      <c r="G314" s="28"/>
      <c r="H314" s="28"/>
      <c r="I314" s="28"/>
      <c r="J314" s="28"/>
      <c r="K314" s="36"/>
      <c r="L314" s="28"/>
      <c r="M314" s="28"/>
      <c r="N314" s="28"/>
      <c r="O314" s="28"/>
      <c r="P314" s="28"/>
      <c r="Q314" s="36"/>
      <c r="R314" s="36"/>
      <c r="S314" s="36"/>
      <c r="T314" s="36"/>
      <c r="U314" s="36"/>
      <c r="V314" s="36"/>
      <c r="W314" s="36"/>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c r="BW314" s="28"/>
      <c r="BX314" s="28"/>
      <c r="BY314" s="28"/>
      <c r="BZ314" s="28"/>
      <c r="CA314" s="28"/>
      <c r="CB314" s="28"/>
      <c r="CC314" s="28"/>
      <c r="CD314" s="28"/>
      <c r="CE314" s="28"/>
      <c r="CF314" s="28"/>
      <c r="CG314" s="28"/>
    </row>
    <row r="315" spans="1:85" ht="12.75" x14ac:dyDescent="0.2">
      <c r="A315" s="28"/>
      <c r="B315" s="28"/>
      <c r="C315" s="28"/>
      <c r="D315" s="28"/>
      <c r="E315" s="28"/>
      <c r="F315" s="28"/>
      <c r="G315" s="28"/>
      <c r="H315" s="28"/>
      <c r="I315" s="28"/>
      <c r="J315" s="28"/>
      <c r="K315" s="36"/>
      <c r="L315" s="28"/>
      <c r="M315" s="28"/>
      <c r="N315" s="28"/>
      <c r="O315" s="28"/>
      <c r="P315" s="28"/>
      <c r="Q315" s="36"/>
      <c r="R315" s="36"/>
      <c r="S315" s="36"/>
      <c r="T315" s="36"/>
      <c r="U315" s="36"/>
      <c r="V315" s="36"/>
      <c r="W315" s="36"/>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c r="BG315" s="28"/>
      <c r="BH315" s="28"/>
      <c r="BI315" s="28"/>
      <c r="BJ315" s="28"/>
      <c r="BK315" s="28"/>
      <c r="BL315" s="28"/>
      <c r="BM315" s="28"/>
      <c r="BN315" s="28"/>
      <c r="BO315" s="28"/>
      <c r="BP315" s="28"/>
      <c r="BQ315" s="28"/>
      <c r="BR315" s="28"/>
      <c r="BS315" s="28"/>
      <c r="BT315" s="28"/>
      <c r="BU315" s="28"/>
      <c r="BV315" s="28"/>
      <c r="BW315" s="28"/>
      <c r="BX315" s="28"/>
      <c r="BY315" s="28"/>
      <c r="BZ315" s="28"/>
      <c r="CA315" s="28"/>
      <c r="CB315" s="28"/>
      <c r="CC315" s="28"/>
      <c r="CD315" s="28"/>
      <c r="CE315" s="28"/>
      <c r="CF315" s="28"/>
      <c r="CG315" s="28"/>
    </row>
    <row r="316" spans="1:85" ht="12.75" x14ac:dyDescent="0.2">
      <c r="A316" s="28"/>
      <c r="B316" s="28"/>
      <c r="C316" s="28"/>
      <c r="D316" s="28"/>
      <c r="E316" s="28"/>
      <c r="F316" s="28"/>
      <c r="G316" s="28"/>
      <c r="H316" s="28"/>
      <c r="I316" s="28"/>
      <c r="J316" s="28"/>
      <c r="K316" s="36"/>
      <c r="L316" s="28"/>
      <c r="M316" s="28"/>
      <c r="N316" s="28"/>
      <c r="O316" s="28"/>
      <c r="P316" s="28"/>
      <c r="Q316" s="36"/>
      <c r="R316" s="36"/>
      <c r="S316" s="36"/>
      <c r="T316" s="36"/>
      <c r="U316" s="36"/>
      <c r="V316" s="36"/>
      <c r="W316" s="36"/>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c r="BW316" s="28"/>
      <c r="BX316" s="28"/>
      <c r="BY316" s="28"/>
      <c r="BZ316" s="28"/>
      <c r="CA316" s="28"/>
      <c r="CB316" s="28"/>
      <c r="CC316" s="28"/>
      <c r="CD316" s="28"/>
      <c r="CE316" s="28"/>
      <c r="CF316" s="28"/>
      <c r="CG316" s="28"/>
    </row>
    <row r="317" spans="1:85" ht="12.75" x14ac:dyDescent="0.2">
      <c r="A317" s="28"/>
      <c r="B317" s="28"/>
      <c r="C317" s="28"/>
      <c r="D317" s="28"/>
      <c r="E317" s="28"/>
      <c r="F317" s="28"/>
      <c r="G317" s="28"/>
      <c r="H317" s="28"/>
      <c r="I317" s="28"/>
      <c r="J317" s="28"/>
      <c r="K317" s="36"/>
      <c r="L317" s="28"/>
      <c r="M317" s="28"/>
      <c r="N317" s="28"/>
      <c r="O317" s="28"/>
      <c r="P317" s="28"/>
      <c r="Q317" s="36"/>
      <c r="R317" s="36"/>
      <c r="S317" s="36"/>
      <c r="T317" s="36"/>
      <c r="U317" s="36"/>
      <c r="V317" s="36"/>
      <c r="W317" s="36"/>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c r="BG317" s="28"/>
      <c r="BH317" s="28"/>
      <c r="BI317" s="28"/>
      <c r="BJ317" s="28"/>
      <c r="BK317" s="28"/>
      <c r="BL317" s="28"/>
      <c r="BM317" s="28"/>
      <c r="BN317" s="28"/>
      <c r="BO317" s="28"/>
      <c r="BP317" s="28"/>
      <c r="BQ317" s="28"/>
      <c r="BR317" s="28"/>
      <c r="BS317" s="28"/>
      <c r="BT317" s="28"/>
      <c r="BU317" s="28"/>
      <c r="BV317" s="28"/>
      <c r="BW317" s="28"/>
      <c r="BX317" s="28"/>
      <c r="BY317" s="28"/>
      <c r="BZ317" s="28"/>
      <c r="CA317" s="28"/>
      <c r="CB317" s="28"/>
      <c r="CC317" s="28"/>
      <c r="CD317" s="28"/>
      <c r="CE317" s="28"/>
      <c r="CF317" s="28"/>
      <c r="CG317" s="28"/>
    </row>
    <row r="318" spans="1:85" ht="12.75" x14ac:dyDescent="0.2">
      <c r="A318" s="28"/>
      <c r="B318" s="28"/>
      <c r="C318" s="28"/>
      <c r="D318" s="28"/>
      <c r="E318" s="28"/>
      <c r="F318" s="28"/>
      <c r="G318" s="28"/>
      <c r="H318" s="28"/>
      <c r="I318" s="28"/>
      <c r="J318" s="28"/>
      <c r="K318" s="36"/>
      <c r="L318" s="28"/>
      <c r="M318" s="28"/>
      <c r="N318" s="28"/>
      <c r="O318" s="28"/>
      <c r="P318" s="28"/>
      <c r="Q318" s="36"/>
      <c r="R318" s="36"/>
      <c r="S318" s="36"/>
      <c r="T318" s="36"/>
      <c r="U318" s="36"/>
      <c r="V318" s="36"/>
      <c r="W318" s="36"/>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c r="BW318" s="28"/>
      <c r="BX318" s="28"/>
      <c r="BY318" s="28"/>
      <c r="BZ318" s="28"/>
      <c r="CA318" s="28"/>
      <c r="CB318" s="28"/>
      <c r="CC318" s="28"/>
      <c r="CD318" s="28"/>
      <c r="CE318" s="28"/>
      <c r="CF318" s="28"/>
      <c r="CG318" s="28"/>
    </row>
    <row r="319" spans="1:85" ht="12.75" x14ac:dyDescent="0.2">
      <c r="A319" s="28"/>
      <c r="B319" s="28"/>
      <c r="C319" s="28"/>
      <c r="D319" s="28"/>
      <c r="E319" s="28"/>
      <c r="F319" s="28"/>
      <c r="G319" s="28"/>
      <c r="H319" s="28"/>
      <c r="I319" s="28"/>
      <c r="J319" s="28"/>
      <c r="K319" s="36"/>
      <c r="L319" s="28"/>
      <c r="M319" s="28"/>
      <c r="N319" s="28"/>
      <c r="O319" s="28"/>
      <c r="P319" s="28"/>
      <c r="Q319" s="36"/>
      <c r="R319" s="36"/>
      <c r="S319" s="36"/>
      <c r="T319" s="36"/>
      <c r="U319" s="36"/>
      <c r="V319" s="36"/>
      <c r="W319" s="36"/>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c r="BG319" s="28"/>
      <c r="BH319" s="28"/>
      <c r="BI319" s="28"/>
      <c r="BJ319" s="28"/>
      <c r="BK319" s="28"/>
      <c r="BL319" s="28"/>
      <c r="BM319" s="28"/>
      <c r="BN319" s="28"/>
      <c r="BO319" s="28"/>
      <c r="BP319" s="28"/>
      <c r="BQ319" s="28"/>
      <c r="BR319" s="28"/>
      <c r="BS319" s="28"/>
      <c r="BT319" s="28"/>
      <c r="BU319" s="28"/>
      <c r="BV319" s="28"/>
      <c r="BW319" s="28"/>
      <c r="BX319" s="28"/>
      <c r="BY319" s="28"/>
      <c r="BZ319" s="28"/>
      <c r="CA319" s="28"/>
      <c r="CB319" s="28"/>
      <c r="CC319" s="28"/>
      <c r="CD319" s="28"/>
      <c r="CE319" s="28"/>
      <c r="CF319" s="28"/>
      <c r="CG319" s="28"/>
    </row>
    <row r="320" spans="1:85" ht="12.75" x14ac:dyDescent="0.2">
      <c r="A320" s="28"/>
      <c r="B320" s="28"/>
      <c r="C320" s="28"/>
      <c r="D320" s="28"/>
      <c r="E320" s="28"/>
      <c r="F320" s="28"/>
      <c r="G320" s="28"/>
      <c r="H320" s="28"/>
      <c r="I320" s="28"/>
      <c r="J320" s="28"/>
      <c r="K320" s="36"/>
      <c r="L320" s="28"/>
      <c r="M320" s="28"/>
      <c r="N320" s="28"/>
      <c r="O320" s="28"/>
      <c r="P320" s="28"/>
      <c r="Q320" s="36"/>
      <c r="R320" s="36"/>
      <c r="S320" s="36"/>
      <c r="T320" s="36"/>
      <c r="U320" s="36"/>
      <c r="V320" s="36"/>
      <c r="W320" s="36"/>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c r="BW320" s="28"/>
      <c r="BX320" s="28"/>
      <c r="BY320" s="28"/>
      <c r="BZ320" s="28"/>
      <c r="CA320" s="28"/>
      <c r="CB320" s="28"/>
      <c r="CC320" s="28"/>
      <c r="CD320" s="28"/>
      <c r="CE320" s="28"/>
      <c r="CF320" s="28"/>
      <c r="CG320" s="28"/>
    </row>
    <row r="321" spans="1:85" ht="12.75" x14ac:dyDescent="0.2">
      <c r="A321" s="28"/>
      <c r="B321" s="28"/>
      <c r="C321" s="28"/>
      <c r="D321" s="28"/>
      <c r="E321" s="28"/>
      <c r="F321" s="28"/>
      <c r="G321" s="28"/>
      <c r="H321" s="28"/>
      <c r="I321" s="28"/>
      <c r="J321" s="28"/>
      <c r="K321" s="36"/>
      <c r="L321" s="28"/>
      <c r="M321" s="28"/>
      <c r="N321" s="28"/>
      <c r="O321" s="28"/>
      <c r="P321" s="28"/>
      <c r="Q321" s="36"/>
      <c r="R321" s="36"/>
      <c r="S321" s="36"/>
      <c r="T321" s="36"/>
      <c r="U321" s="36"/>
      <c r="V321" s="36"/>
      <c r="W321" s="36"/>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c r="BG321" s="28"/>
      <c r="BH321" s="28"/>
      <c r="BI321" s="28"/>
      <c r="BJ321" s="28"/>
      <c r="BK321" s="28"/>
      <c r="BL321" s="28"/>
      <c r="BM321" s="28"/>
      <c r="BN321" s="28"/>
      <c r="BO321" s="28"/>
      <c r="BP321" s="28"/>
      <c r="BQ321" s="28"/>
      <c r="BR321" s="28"/>
      <c r="BS321" s="28"/>
      <c r="BT321" s="28"/>
      <c r="BU321" s="28"/>
      <c r="BV321" s="28"/>
      <c r="BW321" s="28"/>
      <c r="BX321" s="28"/>
      <c r="BY321" s="28"/>
      <c r="BZ321" s="28"/>
      <c r="CA321" s="28"/>
      <c r="CB321" s="28"/>
      <c r="CC321" s="28"/>
      <c r="CD321" s="28"/>
      <c r="CE321" s="28"/>
      <c r="CF321" s="28"/>
      <c r="CG321" s="28"/>
    </row>
    <row r="322" spans="1:85" ht="12.75" x14ac:dyDescent="0.2">
      <c r="A322" s="28"/>
      <c r="B322" s="28"/>
      <c r="C322" s="28"/>
      <c r="D322" s="28"/>
      <c r="E322" s="28"/>
      <c r="F322" s="28"/>
      <c r="G322" s="28"/>
      <c r="H322" s="28"/>
      <c r="I322" s="28"/>
      <c r="J322" s="28"/>
      <c r="K322" s="36"/>
      <c r="L322" s="28"/>
      <c r="M322" s="28"/>
      <c r="N322" s="28"/>
      <c r="O322" s="28"/>
      <c r="P322" s="28"/>
      <c r="Q322" s="36"/>
      <c r="R322" s="36"/>
      <c r="S322" s="36"/>
      <c r="T322" s="36"/>
      <c r="U322" s="36"/>
      <c r="V322" s="36"/>
      <c r="W322" s="36"/>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c r="BW322" s="28"/>
      <c r="BX322" s="28"/>
      <c r="BY322" s="28"/>
      <c r="BZ322" s="28"/>
      <c r="CA322" s="28"/>
      <c r="CB322" s="28"/>
      <c r="CC322" s="28"/>
      <c r="CD322" s="28"/>
      <c r="CE322" s="28"/>
      <c r="CF322" s="28"/>
      <c r="CG322" s="28"/>
    </row>
    <row r="323" spans="1:85" ht="12.75" x14ac:dyDescent="0.2">
      <c r="A323" s="28"/>
      <c r="B323" s="28"/>
      <c r="C323" s="28"/>
      <c r="D323" s="28"/>
      <c r="E323" s="28"/>
      <c r="F323" s="28"/>
      <c r="G323" s="28"/>
      <c r="H323" s="28"/>
      <c r="I323" s="28"/>
      <c r="J323" s="28"/>
      <c r="K323" s="36"/>
      <c r="L323" s="28"/>
      <c r="M323" s="28"/>
      <c r="N323" s="28"/>
      <c r="O323" s="28"/>
      <c r="P323" s="28"/>
      <c r="Q323" s="36"/>
      <c r="R323" s="36"/>
      <c r="S323" s="36"/>
      <c r="T323" s="36"/>
      <c r="U323" s="36"/>
      <c r="V323" s="36"/>
      <c r="W323" s="36"/>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c r="BG323" s="28"/>
      <c r="BH323" s="28"/>
      <c r="BI323" s="28"/>
      <c r="BJ323" s="28"/>
      <c r="BK323" s="28"/>
      <c r="BL323" s="28"/>
      <c r="BM323" s="28"/>
      <c r="BN323" s="28"/>
      <c r="BO323" s="28"/>
      <c r="BP323" s="28"/>
      <c r="BQ323" s="28"/>
      <c r="BR323" s="28"/>
      <c r="BS323" s="28"/>
      <c r="BT323" s="28"/>
      <c r="BU323" s="28"/>
      <c r="BV323" s="28"/>
      <c r="BW323" s="28"/>
      <c r="BX323" s="28"/>
      <c r="BY323" s="28"/>
      <c r="BZ323" s="28"/>
      <c r="CA323" s="28"/>
      <c r="CB323" s="28"/>
      <c r="CC323" s="28"/>
      <c r="CD323" s="28"/>
      <c r="CE323" s="28"/>
      <c r="CF323" s="28"/>
      <c r="CG323" s="28"/>
    </row>
    <row r="324" spans="1:85" ht="12.75" x14ac:dyDescent="0.2">
      <c r="A324" s="28"/>
      <c r="B324" s="28"/>
      <c r="C324" s="28"/>
      <c r="D324" s="28"/>
      <c r="E324" s="28"/>
      <c r="F324" s="28"/>
      <c r="G324" s="28"/>
      <c r="H324" s="28"/>
      <c r="I324" s="28"/>
      <c r="J324" s="28"/>
      <c r="K324" s="36"/>
      <c r="L324" s="28"/>
      <c r="M324" s="28"/>
      <c r="N324" s="28"/>
      <c r="O324" s="28"/>
      <c r="P324" s="28"/>
      <c r="Q324" s="36"/>
      <c r="R324" s="36"/>
      <c r="S324" s="36"/>
      <c r="T324" s="36"/>
      <c r="U324" s="36"/>
      <c r="V324" s="36"/>
      <c r="W324" s="36"/>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c r="BW324" s="28"/>
      <c r="BX324" s="28"/>
      <c r="BY324" s="28"/>
      <c r="BZ324" s="28"/>
      <c r="CA324" s="28"/>
      <c r="CB324" s="28"/>
      <c r="CC324" s="28"/>
      <c r="CD324" s="28"/>
      <c r="CE324" s="28"/>
      <c r="CF324" s="28"/>
      <c r="CG324" s="28"/>
    </row>
    <row r="325" spans="1:85" ht="12.75" x14ac:dyDescent="0.2">
      <c r="A325" s="28"/>
      <c r="B325" s="28"/>
      <c r="C325" s="28"/>
      <c r="D325" s="28"/>
      <c r="E325" s="28"/>
      <c r="F325" s="28"/>
      <c r="G325" s="28"/>
      <c r="H325" s="28"/>
      <c r="I325" s="28"/>
      <c r="J325" s="28"/>
      <c r="K325" s="36"/>
      <c r="L325" s="28"/>
      <c r="M325" s="28"/>
      <c r="N325" s="28"/>
      <c r="O325" s="28"/>
      <c r="P325" s="28"/>
      <c r="Q325" s="36"/>
      <c r="R325" s="36"/>
      <c r="S325" s="36"/>
      <c r="T325" s="36"/>
      <c r="U325" s="36"/>
      <c r="V325" s="36"/>
      <c r="W325" s="36"/>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c r="BR325" s="28"/>
      <c r="BS325" s="28"/>
      <c r="BT325" s="28"/>
      <c r="BU325" s="28"/>
      <c r="BV325" s="28"/>
      <c r="BW325" s="28"/>
      <c r="BX325" s="28"/>
      <c r="BY325" s="28"/>
      <c r="BZ325" s="28"/>
      <c r="CA325" s="28"/>
      <c r="CB325" s="28"/>
      <c r="CC325" s="28"/>
      <c r="CD325" s="28"/>
      <c r="CE325" s="28"/>
      <c r="CF325" s="28"/>
      <c r="CG325" s="28"/>
    </row>
    <row r="326" spans="1:85" ht="12.75" x14ac:dyDescent="0.2">
      <c r="A326" s="28"/>
      <c r="B326" s="28"/>
      <c r="C326" s="28"/>
      <c r="D326" s="28"/>
      <c r="E326" s="28"/>
      <c r="F326" s="28"/>
      <c r="G326" s="28"/>
      <c r="H326" s="28"/>
      <c r="I326" s="28"/>
      <c r="J326" s="28"/>
      <c r="K326" s="36"/>
      <c r="L326" s="28"/>
      <c r="M326" s="28"/>
      <c r="N326" s="28"/>
      <c r="O326" s="28"/>
      <c r="P326" s="28"/>
      <c r="Q326" s="36"/>
      <c r="R326" s="36"/>
      <c r="S326" s="36"/>
      <c r="T326" s="36"/>
      <c r="U326" s="36"/>
      <c r="V326" s="36"/>
      <c r="W326" s="36"/>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c r="BW326" s="28"/>
      <c r="BX326" s="28"/>
      <c r="BY326" s="28"/>
      <c r="BZ326" s="28"/>
      <c r="CA326" s="28"/>
      <c r="CB326" s="28"/>
      <c r="CC326" s="28"/>
      <c r="CD326" s="28"/>
      <c r="CE326" s="28"/>
      <c r="CF326" s="28"/>
      <c r="CG326" s="28"/>
    </row>
    <row r="327" spans="1:85" ht="12.75" x14ac:dyDescent="0.2">
      <c r="A327" s="28"/>
      <c r="B327" s="28"/>
      <c r="C327" s="28"/>
      <c r="D327" s="28"/>
      <c r="E327" s="28"/>
      <c r="F327" s="28"/>
      <c r="G327" s="28"/>
      <c r="H327" s="28"/>
      <c r="I327" s="28"/>
      <c r="J327" s="28"/>
      <c r="K327" s="36"/>
      <c r="L327" s="28"/>
      <c r="M327" s="28"/>
      <c r="N327" s="28"/>
      <c r="O327" s="28"/>
      <c r="P327" s="28"/>
      <c r="Q327" s="36"/>
      <c r="R327" s="36"/>
      <c r="S327" s="36"/>
      <c r="T327" s="36"/>
      <c r="U327" s="36"/>
      <c r="V327" s="36"/>
      <c r="W327" s="36"/>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c r="BG327" s="28"/>
      <c r="BH327" s="28"/>
      <c r="BI327" s="28"/>
      <c r="BJ327" s="28"/>
      <c r="BK327" s="28"/>
      <c r="BL327" s="28"/>
      <c r="BM327" s="28"/>
      <c r="BN327" s="28"/>
      <c r="BO327" s="28"/>
      <c r="BP327" s="28"/>
      <c r="BQ327" s="28"/>
      <c r="BR327" s="28"/>
      <c r="BS327" s="28"/>
      <c r="BT327" s="28"/>
      <c r="BU327" s="28"/>
      <c r="BV327" s="28"/>
      <c r="BW327" s="28"/>
      <c r="BX327" s="28"/>
      <c r="BY327" s="28"/>
      <c r="BZ327" s="28"/>
      <c r="CA327" s="28"/>
      <c r="CB327" s="28"/>
      <c r="CC327" s="28"/>
      <c r="CD327" s="28"/>
      <c r="CE327" s="28"/>
      <c r="CF327" s="28"/>
      <c r="CG327" s="28"/>
    </row>
    <row r="328" spans="1:85" ht="12.75" x14ac:dyDescent="0.2">
      <c r="A328" s="28"/>
      <c r="B328" s="28"/>
      <c r="C328" s="28"/>
      <c r="D328" s="28"/>
      <c r="E328" s="28"/>
      <c r="F328" s="28"/>
      <c r="G328" s="28"/>
      <c r="H328" s="28"/>
      <c r="I328" s="28"/>
      <c r="J328" s="28"/>
      <c r="K328" s="36"/>
      <c r="L328" s="28"/>
      <c r="M328" s="28"/>
      <c r="N328" s="28"/>
      <c r="O328" s="28"/>
      <c r="P328" s="28"/>
      <c r="Q328" s="36"/>
      <c r="R328" s="36"/>
      <c r="S328" s="36"/>
      <c r="T328" s="36"/>
      <c r="U328" s="36"/>
      <c r="V328" s="36"/>
      <c r="W328" s="36"/>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c r="CC328" s="28"/>
      <c r="CD328" s="28"/>
      <c r="CE328" s="28"/>
      <c r="CF328" s="28"/>
      <c r="CG328" s="28"/>
    </row>
    <row r="329" spans="1:85" ht="12.75" x14ac:dyDescent="0.2">
      <c r="A329" s="28"/>
      <c r="B329" s="28"/>
      <c r="C329" s="28"/>
      <c r="D329" s="28"/>
      <c r="E329" s="28"/>
      <c r="F329" s="28"/>
      <c r="G329" s="28"/>
      <c r="H329" s="28"/>
      <c r="I329" s="28"/>
      <c r="J329" s="28"/>
      <c r="K329" s="36"/>
      <c r="L329" s="28"/>
      <c r="M329" s="28"/>
      <c r="N329" s="28"/>
      <c r="O329" s="28"/>
      <c r="P329" s="28"/>
      <c r="Q329" s="36"/>
      <c r="R329" s="36"/>
      <c r="S329" s="36"/>
      <c r="T329" s="36"/>
      <c r="U329" s="36"/>
      <c r="V329" s="36"/>
      <c r="W329" s="36"/>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c r="BR329" s="28"/>
      <c r="BS329" s="28"/>
      <c r="BT329" s="28"/>
      <c r="BU329" s="28"/>
      <c r="BV329" s="28"/>
      <c r="BW329" s="28"/>
      <c r="BX329" s="28"/>
      <c r="BY329" s="28"/>
      <c r="BZ329" s="28"/>
      <c r="CA329" s="28"/>
      <c r="CB329" s="28"/>
      <c r="CC329" s="28"/>
      <c r="CD329" s="28"/>
      <c r="CE329" s="28"/>
      <c r="CF329" s="28"/>
      <c r="CG329" s="28"/>
    </row>
    <row r="330" spans="1:85" ht="12.75" x14ac:dyDescent="0.2">
      <c r="A330" s="28"/>
      <c r="B330" s="28"/>
      <c r="C330" s="28"/>
      <c r="D330" s="28"/>
      <c r="E330" s="28"/>
      <c r="F330" s="28"/>
      <c r="G330" s="28"/>
      <c r="H330" s="28"/>
      <c r="I330" s="28"/>
      <c r="J330" s="28"/>
      <c r="K330" s="36"/>
      <c r="L330" s="28"/>
      <c r="M330" s="28"/>
      <c r="N330" s="28"/>
      <c r="O330" s="28"/>
      <c r="P330" s="28"/>
      <c r="Q330" s="36"/>
      <c r="R330" s="36"/>
      <c r="S330" s="36"/>
      <c r="T330" s="36"/>
      <c r="U330" s="36"/>
      <c r="V330" s="36"/>
      <c r="W330" s="36"/>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row>
    <row r="331" spans="1:85" ht="12.75" x14ac:dyDescent="0.2">
      <c r="A331" s="28"/>
      <c r="B331" s="28"/>
      <c r="C331" s="28"/>
      <c r="D331" s="28"/>
      <c r="E331" s="28"/>
      <c r="F331" s="28"/>
      <c r="G331" s="28"/>
      <c r="H331" s="28"/>
      <c r="I331" s="28"/>
      <c r="J331" s="28"/>
      <c r="K331" s="36"/>
      <c r="L331" s="28"/>
      <c r="M331" s="28"/>
      <c r="N331" s="28"/>
      <c r="O331" s="28"/>
      <c r="P331" s="28"/>
      <c r="Q331" s="36"/>
      <c r="R331" s="36"/>
      <c r="S331" s="36"/>
      <c r="T331" s="36"/>
      <c r="U331" s="36"/>
      <c r="V331" s="36"/>
      <c r="W331" s="36"/>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c r="BR331" s="28"/>
      <c r="BS331" s="28"/>
      <c r="BT331" s="28"/>
      <c r="BU331" s="28"/>
      <c r="BV331" s="28"/>
      <c r="BW331" s="28"/>
      <c r="BX331" s="28"/>
      <c r="BY331" s="28"/>
      <c r="BZ331" s="28"/>
      <c r="CA331" s="28"/>
      <c r="CB331" s="28"/>
      <c r="CC331" s="28"/>
      <c r="CD331" s="28"/>
      <c r="CE331" s="28"/>
      <c r="CF331" s="28"/>
      <c r="CG331" s="28"/>
    </row>
    <row r="332" spans="1:85" ht="12.75" x14ac:dyDescent="0.2">
      <c r="A332" s="28"/>
      <c r="B332" s="28"/>
      <c r="C332" s="28"/>
      <c r="D332" s="28"/>
      <c r="E332" s="28"/>
      <c r="F332" s="28"/>
      <c r="G332" s="28"/>
      <c r="H332" s="28"/>
      <c r="I332" s="28"/>
      <c r="J332" s="28"/>
      <c r="K332" s="36"/>
      <c r="L332" s="28"/>
      <c r="M332" s="28"/>
      <c r="N332" s="28"/>
      <c r="O332" s="28"/>
      <c r="P332" s="28"/>
      <c r="Q332" s="36"/>
      <c r="R332" s="36"/>
      <c r="S332" s="36"/>
      <c r="T332" s="36"/>
      <c r="U332" s="36"/>
      <c r="V332" s="36"/>
      <c r="W332" s="36"/>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row>
    <row r="333" spans="1:85" ht="12.75" x14ac:dyDescent="0.2">
      <c r="A333" s="28"/>
      <c r="B333" s="28"/>
      <c r="C333" s="28"/>
      <c r="D333" s="28"/>
      <c r="E333" s="28"/>
      <c r="F333" s="28"/>
      <c r="G333" s="28"/>
      <c r="H333" s="28"/>
      <c r="I333" s="28"/>
      <c r="J333" s="28"/>
      <c r="K333" s="36"/>
      <c r="L333" s="28"/>
      <c r="M333" s="28"/>
      <c r="N333" s="28"/>
      <c r="O333" s="28"/>
      <c r="P333" s="28"/>
      <c r="Q333" s="36"/>
      <c r="R333" s="36"/>
      <c r="S333" s="36"/>
      <c r="T333" s="36"/>
      <c r="U333" s="36"/>
      <c r="V333" s="36"/>
      <c r="W333" s="36"/>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c r="BR333" s="28"/>
      <c r="BS333" s="28"/>
      <c r="BT333" s="28"/>
      <c r="BU333" s="28"/>
      <c r="BV333" s="28"/>
      <c r="BW333" s="28"/>
      <c r="BX333" s="28"/>
      <c r="BY333" s="28"/>
      <c r="BZ333" s="28"/>
      <c r="CA333" s="28"/>
      <c r="CB333" s="28"/>
      <c r="CC333" s="28"/>
      <c r="CD333" s="28"/>
      <c r="CE333" s="28"/>
      <c r="CF333" s="28"/>
      <c r="CG333" s="28"/>
    </row>
    <row r="334" spans="1:85" ht="12.75" x14ac:dyDescent="0.2">
      <c r="A334" s="28"/>
      <c r="B334" s="28"/>
      <c r="C334" s="28"/>
      <c r="D334" s="28"/>
      <c r="E334" s="28"/>
      <c r="F334" s="28"/>
      <c r="G334" s="28"/>
      <c r="H334" s="28"/>
      <c r="I334" s="28"/>
      <c r="J334" s="28"/>
      <c r="K334" s="36"/>
      <c r="L334" s="28"/>
      <c r="M334" s="28"/>
      <c r="N334" s="28"/>
      <c r="O334" s="28"/>
      <c r="P334" s="28"/>
      <c r="Q334" s="36"/>
      <c r="R334" s="36"/>
      <c r="S334" s="36"/>
      <c r="T334" s="36"/>
      <c r="U334" s="36"/>
      <c r="V334" s="36"/>
      <c r="W334" s="36"/>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row>
    <row r="335" spans="1:85" ht="12.75" x14ac:dyDescent="0.2">
      <c r="A335" s="28"/>
      <c r="B335" s="28"/>
      <c r="C335" s="28"/>
      <c r="D335" s="28"/>
      <c r="E335" s="28"/>
      <c r="F335" s="28"/>
      <c r="G335" s="28"/>
      <c r="H335" s="28"/>
      <c r="I335" s="28"/>
      <c r="J335" s="28"/>
      <c r="K335" s="36"/>
      <c r="L335" s="28"/>
      <c r="M335" s="28"/>
      <c r="N335" s="28"/>
      <c r="O335" s="28"/>
      <c r="P335" s="28"/>
      <c r="Q335" s="36"/>
      <c r="R335" s="36"/>
      <c r="S335" s="36"/>
      <c r="T335" s="36"/>
      <c r="U335" s="36"/>
      <c r="V335" s="36"/>
      <c r="W335" s="36"/>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c r="BR335" s="28"/>
      <c r="BS335" s="28"/>
      <c r="BT335" s="28"/>
      <c r="BU335" s="28"/>
      <c r="BV335" s="28"/>
      <c r="BW335" s="28"/>
      <c r="BX335" s="28"/>
      <c r="BY335" s="28"/>
      <c r="BZ335" s="28"/>
      <c r="CA335" s="28"/>
      <c r="CB335" s="28"/>
      <c r="CC335" s="28"/>
      <c r="CD335" s="28"/>
      <c r="CE335" s="28"/>
      <c r="CF335" s="28"/>
      <c r="CG335" s="28"/>
    </row>
    <row r="336" spans="1:85" ht="12.75" x14ac:dyDescent="0.2">
      <c r="A336" s="28"/>
      <c r="B336" s="28"/>
      <c r="C336" s="28"/>
      <c r="D336" s="28"/>
      <c r="E336" s="28"/>
      <c r="F336" s="28"/>
      <c r="G336" s="28"/>
      <c r="H336" s="28"/>
      <c r="I336" s="28"/>
      <c r="J336" s="28"/>
      <c r="K336" s="36"/>
      <c r="L336" s="28"/>
      <c r="M336" s="28"/>
      <c r="N336" s="28"/>
      <c r="O336" s="28"/>
      <c r="P336" s="28"/>
      <c r="Q336" s="36"/>
      <c r="R336" s="36"/>
      <c r="S336" s="36"/>
      <c r="T336" s="36"/>
      <c r="U336" s="36"/>
      <c r="V336" s="36"/>
      <c r="W336" s="36"/>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row>
    <row r="337" spans="1:85" ht="12.75" x14ac:dyDescent="0.2">
      <c r="A337" s="28"/>
      <c r="B337" s="28"/>
      <c r="C337" s="28"/>
      <c r="D337" s="28"/>
      <c r="E337" s="28"/>
      <c r="F337" s="28"/>
      <c r="G337" s="28"/>
      <c r="H337" s="28"/>
      <c r="I337" s="28"/>
      <c r="J337" s="28"/>
      <c r="K337" s="36"/>
      <c r="L337" s="28"/>
      <c r="M337" s="28"/>
      <c r="N337" s="28"/>
      <c r="O337" s="28"/>
      <c r="P337" s="28"/>
      <c r="Q337" s="36"/>
      <c r="R337" s="36"/>
      <c r="S337" s="36"/>
      <c r="T337" s="36"/>
      <c r="U337" s="36"/>
      <c r="V337" s="36"/>
      <c r="W337" s="36"/>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c r="BR337" s="28"/>
      <c r="BS337" s="28"/>
      <c r="BT337" s="28"/>
      <c r="BU337" s="28"/>
      <c r="BV337" s="28"/>
      <c r="BW337" s="28"/>
      <c r="BX337" s="28"/>
      <c r="BY337" s="28"/>
      <c r="BZ337" s="28"/>
      <c r="CA337" s="28"/>
      <c r="CB337" s="28"/>
      <c r="CC337" s="28"/>
      <c r="CD337" s="28"/>
      <c r="CE337" s="28"/>
      <c r="CF337" s="28"/>
      <c r="CG337" s="28"/>
    </row>
    <row r="338" spans="1:85" ht="12.75" x14ac:dyDescent="0.2">
      <c r="A338" s="28"/>
      <c r="B338" s="28"/>
      <c r="C338" s="28"/>
      <c r="D338" s="28"/>
      <c r="E338" s="28"/>
      <c r="F338" s="28"/>
      <c r="G338" s="28"/>
      <c r="H338" s="28"/>
      <c r="I338" s="28"/>
      <c r="J338" s="28"/>
      <c r="K338" s="36"/>
      <c r="L338" s="28"/>
      <c r="M338" s="28"/>
      <c r="N338" s="28"/>
      <c r="O338" s="28"/>
      <c r="P338" s="28"/>
      <c r="Q338" s="36"/>
      <c r="R338" s="36"/>
      <c r="S338" s="36"/>
      <c r="T338" s="36"/>
      <c r="U338" s="36"/>
      <c r="V338" s="36"/>
      <c r="W338" s="36"/>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row>
    <row r="339" spans="1:85" ht="12.75" x14ac:dyDescent="0.2">
      <c r="A339" s="28"/>
      <c r="B339" s="28"/>
      <c r="C339" s="28"/>
      <c r="D339" s="28"/>
      <c r="E339" s="28"/>
      <c r="F339" s="28"/>
      <c r="G339" s="28"/>
      <c r="H339" s="28"/>
      <c r="I339" s="28"/>
      <c r="J339" s="28"/>
      <c r="K339" s="36"/>
      <c r="L339" s="28"/>
      <c r="M339" s="28"/>
      <c r="N339" s="28"/>
      <c r="O339" s="28"/>
      <c r="P339" s="28"/>
      <c r="Q339" s="36"/>
      <c r="R339" s="36"/>
      <c r="S339" s="36"/>
      <c r="T339" s="36"/>
      <c r="U339" s="36"/>
      <c r="V339" s="36"/>
      <c r="W339" s="36"/>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c r="BG339" s="28"/>
      <c r="BH339" s="28"/>
      <c r="BI339" s="28"/>
      <c r="BJ339" s="28"/>
      <c r="BK339" s="28"/>
      <c r="BL339" s="28"/>
      <c r="BM339" s="28"/>
      <c r="BN339" s="28"/>
      <c r="BO339" s="28"/>
      <c r="BP339" s="28"/>
      <c r="BQ339" s="28"/>
      <c r="BR339" s="28"/>
      <c r="BS339" s="28"/>
      <c r="BT339" s="28"/>
      <c r="BU339" s="28"/>
      <c r="BV339" s="28"/>
      <c r="BW339" s="28"/>
      <c r="BX339" s="28"/>
      <c r="BY339" s="28"/>
      <c r="BZ339" s="28"/>
      <c r="CA339" s="28"/>
      <c r="CB339" s="28"/>
      <c r="CC339" s="28"/>
      <c r="CD339" s="28"/>
      <c r="CE339" s="28"/>
      <c r="CF339" s="28"/>
      <c r="CG339" s="28"/>
    </row>
    <row r="340" spans="1:85" ht="12.75" x14ac:dyDescent="0.2">
      <c r="A340" s="28"/>
      <c r="B340" s="28"/>
      <c r="C340" s="28"/>
      <c r="D340" s="28"/>
      <c r="E340" s="28"/>
      <c r="F340" s="28"/>
      <c r="G340" s="28"/>
      <c r="H340" s="28"/>
      <c r="I340" s="28"/>
      <c r="J340" s="28"/>
      <c r="K340" s="36"/>
      <c r="L340" s="28"/>
      <c r="M340" s="28"/>
      <c r="N340" s="28"/>
      <c r="O340" s="28"/>
      <c r="P340" s="28"/>
      <c r="Q340" s="36"/>
      <c r="R340" s="36"/>
      <c r="S340" s="36"/>
      <c r="T340" s="36"/>
      <c r="U340" s="36"/>
      <c r="V340" s="36"/>
      <c r="W340" s="36"/>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c r="BW340" s="28"/>
      <c r="BX340" s="28"/>
      <c r="BY340" s="28"/>
      <c r="BZ340" s="28"/>
      <c r="CA340" s="28"/>
      <c r="CB340" s="28"/>
      <c r="CC340" s="28"/>
      <c r="CD340" s="28"/>
      <c r="CE340" s="28"/>
      <c r="CF340" s="28"/>
      <c r="CG340" s="28"/>
    </row>
    <row r="341" spans="1:85" ht="12.75" x14ac:dyDescent="0.2">
      <c r="A341" s="28"/>
      <c r="B341" s="28"/>
      <c r="C341" s="28"/>
      <c r="D341" s="28"/>
      <c r="E341" s="28"/>
      <c r="F341" s="28"/>
      <c r="G341" s="28"/>
      <c r="H341" s="28"/>
      <c r="I341" s="28"/>
      <c r="J341" s="28"/>
      <c r="K341" s="36"/>
      <c r="L341" s="28"/>
      <c r="M341" s="28"/>
      <c r="N341" s="28"/>
      <c r="O341" s="28"/>
      <c r="P341" s="28"/>
      <c r="Q341" s="36"/>
      <c r="R341" s="36"/>
      <c r="S341" s="36"/>
      <c r="T341" s="36"/>
      <c r="U341" s="36"/>
      <c r="V341" s="36"/>
      <c r="W341" s="36"/>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c r="BG341" s="28"/>
      <c r="BH341" s="28"/>
      <c r="BI341" s="28"/>
      <c r="BJ341" s="28"/>
      <c r="BK341" s="28"/>
      <c r="BL341" s="28"/>
      <c r="BM341" s="28"/>
      <c r="BN341" s="28"/>
      <c r="BO341" s="28"/>
      <c r="BP341" s="28"/>
      <c r="BQ341" s="28"/>
      <c r="BR341" s="28"/>
      <c r="BS341" s="28"/>
      <c r="BT341" s="28"/>
      <c r="BU341" s="28"/>
      <c r="BV341" s="28"/>
      <c r="BW341" s="28"/>
      <c r="BX341" s="28"/>
      <c r="BY341" s="28"/>
      <c r="BZ341" s="28"/>
      <c r="CA341" s="28"/>
      <c r="CB341" s="28"/>
      <c r="CC341" s="28"/>
      <c r="CD341" s="28"/>
      <c r="CE341" s="28"/>
      <c r="CF341" s="28"/>
      <c r="CG341" s="28"/>
    </row>
    <row r="342" spans="1:85" ht="12.75" x14ac:dyDescent="0.2">
      <c r="A342" s="28"/>
      <c r="B342" s="28"/>
      <c r="C342" s="28"/>
      <c r="D342" s="28"/>
      <c r="E342" s="28"/>
      <c r="F342" s="28"/>
      <c r="G342" s="28"/>
      <c r="H342" s="28"/>
      <c r="I342" s="28"/>
      <c r="J342" s="28"/>
      <c r="K342" s="36"/>
      <c r="L342" s="28"/>
      <c r="M342" s="28"/>
      <c r="N342" s="28"/>
      <c r="O342" s="28"/>
      <c r="P342" s="28"/>
      <c r="Q342" s="36"/>
      <c r="R342" s="36"/>
      <c r="S342" s="36"/>
      <c r="T342" s="36"/>
      <c r="U342" s="36"/>
      <c r="V342" s="36"/>
      <c r="W342" s="36"/>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c r="BW342" s="28"/>
      <c r="BX342" s="28"/>
      <c r="BY342" s="28"/>
      <c r="BZ342" s="28"/>
      <c r="CA342" s="28"/>
      <c r="CB342" s="28"/>
      <c r="CC342" s="28"/>
      <c r="CD342" s="28"/>
      <c r="CE342" s="28"/>
      <c r="CF342" s="28"/>
      <c r="CG342" s="28"/>
    </row>
    <row r="343" spans="1:85" ht="12.75" x14ac:dyDescent="0.2">
      <c r="A343" s="28"/>
      <c r="B343" s="28"/>
      <c r="C343" s="28"/>
      <c r="D343" s="28"/>
      <c r="E343" s="28"/>
      <c r="F343" s="28"/>
      <c r="G343" s="28"/>
      <c r="H343" s="28"/>
      <c r="I343" s="28"/>
      <c r="J343" s="28"/>
      <c r="K343" s="36"/>
      <c r="L343" s="28"/>
      <c r="M343" s="28"/>
      <c r="N343" s="28"/>
      <c r="O343" s="28"/>
      <c r="P343" s="28"/>
      <c r="Q343" s="36"/>
      <c r="R343" s="36"/>
      <c r="S343" s="36"/>
      <c r="T343" s="36"/>
      <c r="U343" s="36"/>
      <c r="V343" s="36"/>
      <c r="W343" s="36"/>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28"/>
      <c r="BP343" s="28"/>
      <c r="BQ343" s="28"/>
      <c r="BR343" s="28"/>
      <c r="BS343" s="28"/>
      <c r="BT343" s="28"/>
      <c r="BU343" s="28"/>
      <c r="BV343" s="28"/>
      <c r="BW343" s="28"/>
      <c r="BX343" s="28"/>
      <c r="BY343" s="28"/>
      <c r="BZ343" s="28"/>
      <c r="CA343" s="28"/>
      <c r="CB343" s="28"/>
      <c r="CC343" s="28"/>
      <c r="CD343" s="28"/>
      <c r="CE343" s="28"/>
      <c r="CF343" s="28"/>
      <c r="CG343" s="28"/>
    </row>
    <row r="344" spans="1:85" ht="12.75" x14ac:dyDescent="0.2">
      <c r="A344" s="28"/>
      <c r="B344" s="28"/>
      <c r="C344" s="28"/>
      <c r="D344" s="28"/>
      <c r="E344" s="28"/>
      <c r="F344" s="28"/>
      <c r="G344" s="28"/>
      <c r="H344" s="28"/>
      <c r="I344" s="28"/>
      <c r="J344" s="28"/>
      <c r="K344" s="36"/>
      <c r="L344" s="28"/>
      <c r="M344" s="28"/>
      <c r="N344" s="28"/>
      <c r="O344" s="28"/>
      <c r="P344" s="28"/>
      <c r="Q344" s="36"/>
      <c r="R344" s="36"/>
      <c r="S344" s="36"/>
      <c r="T344" s="36"/>
      <c r="U344" s="36"/>
      <c r="V344" s="36"/>
      <c r="W344" s="36"/>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c r="BW344" s="28"/>
      <c r="BX344" s="28"/>
      <c r="BY344" s="28"/>
      <c r="BZ344" s="28"/>
      <c r="CA344" s="28"/>
      <c r="CB344" s="28"/>
      <c r="CC344" s="28"/>
      <c r="CD344" s="28"/>
      <c r="CE344" s="28"/>
      <c r="CF344" s="28"/>
      <c r="CG344" s="28"/>
    </row>
    <row r="345" spans="1:85" ht="12.75" x14ac:dyDescent="0.2">
      <c r="A345" s="28"/>
      <c r="B345" s="28"/>
      <c r="C345" s="28"/>
      <c r="D345" s="28"/>
      <c r="E345" s="28"/>
      <c r="F345" s="28"/>
      <c r="G345" s="28"/>
      <c r="H345" s="28"/>
      <c r="I345" s="28"/>
      <c r="J345" s="28"/>
      <c r="K345" s="36"/>
      <c r="L345" s="28"/>
      <c r="M345" s="28"/>
      <c r="N345" s="28"/>
      <c r="O345" s="28"/>
      <c r="P345" s="28"/>
      <c r="Q345" s="36"/>
      <c r="R345" s="36"/>
      <c r="S345" s="36"/>
      <c r="T345" s="36"/>
      <c r="U345" s="36"/>
      <c r="V345" s="36"/>
      <c r="W345" s="36"/>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c r="BG345" s="28"/>
      <c r="BH345" s="28"/>
      <c r="BI345" s="28"/>
      <c r="BJ345" s="28"/>
      <c r="BK345" s="28"/>
      <c r="BL345" s="28"/>
      <c r="BM345" s="28"/>
      <c r="BN345" s="28"/>
      <c r="BO345" s="28"/>
      <c r="BP345" s="28"/>
      <c r="BQ345" s="28"/>
      <c r="BR345" s="28"/>
      <c r="BS345" s="28"/>
      <c r="BT345" s="28"/>
      <c r="BU345" s="28"/>
      <c r="BV345" s="28"/>
      <c r="BW345" s="28"/>
      <c r="BX345" s="28"/>
      <c r="BY345" s="28"/>
      <c r="BZ345" s="28"/>
      <c r="CA345" s="28"/>
      <c r="CB345" s="28"/>
      <c r="CC345" s="28"/>
      <c r="CD345" s="28"/>
      <c r="CE345" s="28"/>
      <c r="CF345" s="28"/>
      <c r="CG345" s="28"/>
    </row>
    <row r="346" spans="1:85" ht="12.75" x14ac:dyDescent="0.2">
      <c r="A346" s="28"/>
      <c r="B346" s="28"/>
      <c r="C346" s="28"/>
      <c r="D346" s="28"/>
      <c r="E346" s="28"/>
      <c r="F346" s="28"/>
      <c r="G346" s="28"/>
      <c r="H346" s="28"/>
      <c r="I346" s="28"/>
      <c r="J346" s="28"/>
      <c r="K346" s="36"/>
      <c r="L346" s="28"/>
      <c r="M346" s="28"/>
      <c r="N346" s="28"/>
      <c r="O346" s="28"/>
      <c r="P346" s="28"/>
      <c r="Q346" s="36"/>
      <c r="R346" s="36"/>
      <c r="S346" s="36"/>
      <c r="T346" s="36"/>
      <c r="U346" s="36"/>
      <c r="V346" s="36"/>
      <c r="W346" s="36"/>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c r="BW346" s="28"/>
      <c r="BX346" s="28"/>
      <c r="BY346" s="28"/>
      <c r="BZ346" s="28"/>
      <c r="CA346" s="28"/>
      <c r="CB346" s="28"/>
      <c r="CC346" s="28"/>
      <c r="CD346" s="28"/>
      <c r="CE346" s="28"/>
      <c r="CF346" s="28"/>
      <c r="CG346" s="28"/>
    </row>
    <row r="347" spans="1:85" ht="12.75" x14ac:dyDescent="0.2">
      <c r="A347" s="28"/>
      <c r="B347" s="28"/>
      <c r="C347" s="28"/>
      <c r="D347" s="28"/>
      <c r="E347" s="28"/>
      <c r="F347" s="28"/>
      <c r="G347" s="28"/>
      <c r="H347" s="28"/>
      <c r="I347" s="28"/>
      <c r="J347" s="28"/>
      <c r="K347" s="36"/>
      <c r="L347" s="28"/>
      <c r="M347" s="28"/>
      <c r="N347" s="28"/>
      <c r="O347" s="28"/>
      <c r="P347" s="28"/>
      <c r="Q347" s="36"/>
      <c r="R347" s="36"/>
      <c r="S347" s="36"/>
      <c r="T347" s="36"/>
      <c r="U347" s="36"/>
      <c r="V347" s="36"/>
      <c r="W347" s="36"/>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c r="BG347" s="28"/>
      <c r="BH347" s="28"/>
      <c r="BI347" s="28"/>
      <c r="BJ347" s="28"/>
      <c r="BK347" s="28"/>
      <c r="BL347" s="28"/>
      <c r="BM347" s="28"/>
      <c r="BN347" s="28"/>
      <c r="BO347" s="28"/>
      <c r="BP347" s="28"/>
      <c r="BQ347" s="28"/>
      <c r="BR347" s="28"/>
      <c r="BS347" s="28"/>
      <c r="BT347" s="28"/>
      <c r="BU347" s="28"/>
      <c r="BV347" s="28"/>
      <c r="BW347" s="28"/>
      <c r="BX347" s="28"/>
      <c r="BY347" s="28"/>
      <c r="BZ347" s="28"/>
      <c r="CA347" s="28"/>
      <c r="CB347" s="28"/>
      <c r="CC347" s="28"/>
      <c r="CD347" s="28"/>
      <c r="CE347" s="28"/>
      <c r="CF347" s="28"/>
      <c r="CG347" s="28"/>
    </row>
    <row r="348" spans="1:85" ht="12.75" x14ac:dyDescent="0.2">
      <c r="A348" s="28"/>
      <c r="B348" s="28"/>
      <c r="C348" s="28"/>
      <c r="D348" s="28"/>
      <c r="E348" s="28"/>
      <c r="F348" s="28"/>
      <c r="G348" s="28"/>
      <c r="H348" s="28"/>
      <c r="I348" s="28"/>
      <c r="J348" s="28"/>
      <c r="K348" s="36"/>
      <c r="L348" s="28"/>
      <c r="M348" s="28"/>
      <c r="N348" s="28"/>
      <c r="O348" s="28"/>
      <c r="P348" s="28"/>
      <c r="Q348" s="36"/>
      <c r="R348" s="36"/>
      <c r="S348" s="36"/>
      <c r="T348" s="36"/>
      <c r="U348" s="36"/>
      <c r="V348" s="36"/>
      <c r="W348" s="36"/>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c r="BW348" s="28"/>
      <c r="BX348" s="28"/>
      <c r="BY348" s="28"/>
      <c r="BZ348" s="28"/>
      <c r="CA348" s="28"/>
      <c r="CB348" s="28"/>
      <c r="CC348" s="28"/>
      <c r="CD348" s="28"/>
      <c r="CE348" s="28"/>
      <c r="CF348" s="28"/>
      <c r="CG348" s="28"/>
    </row>
    <row r="349" spans="1:85" ht="12.75" x14ac:dyDescent="0.2">
      <c r="A349" s="28"/>
      <c r="B349" s="28"/>
      <c r="C349" s="28"/>
      <c r="D349" s="28"/>
      <c r="E349" s="28"/>
      <c r="F349" s="28"/>
      <c r="G349" s="28"/>
      <c r="H349" s="28"/>
      <c r="I349" s="28"/>
      <c r="J349" s="28"/>
      <c r="K349" s="36"/>
      <c r="L349" s="28"/>
      <c r="M349" s="28"/>
      <c r="N349" s="28"/>
      <c r="O349" s="28"/>
      <c r="P349" s="28"/>
      <c r="Q349" s="36"/>
      <c r="R349" s="36"/>
      <c r="S349" s="36"/>
      <c r="T349" s="36"/>
      <c r="U349" s="36"/>
      <c r="V349" s="36"/>
      <c r="W349" s="36"/>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c r="BG349" s="28"/>
      <c r="BH349" s="28"/>
      <c r="BI349" s="28"/>
      <c r="BJ349" s="28"/>
      <c r="BK349" s="28"/>
      <c r="BL349" s="28"/>
      <c r="BM349" s="28"/>
      <c r="BN349" s="28"/>
      <c r="BO349" s="28"/>
      <c r="BP349" s="28"/>
      <c r="BQ349" s="28"/>
      <c r="BR349" s="28"/>
      <c r="BS349" s="28"/>
      <c r="BT349" s="28"/>
      <c r="BU349" s="28"/>
      <c r="BV349" s="28"/>
      <c r="BW349" s="28"/>
      <c r="BX349" s="28"/>
      <c r="BY349" s="28"/>
      <c r="BZ349" s="28"/>
      <c r="CA349" s="28"/>
      <c r="CB349" s="28"/>
      <c r="CC349" s="28"/>
      <c r="CD349" s="28"/>
      <c r="CE349" s="28"/>
      <c r="CF349" s="28"/>
      <c r="CG349" s="28"/>
    </row>
    <row r="350" spans="1:85" ht="12.75" x14ac:dyDescent="0.2">
      <c r="A350" s="28"/>
      <c r="B350" s="28"/>
      <c r="C350" s="28"/>
      <c r="D350" s="28"/>
      <c r="E350" s="28"/>
      <c r="F350" s="28"/>
      <c r="G350" s="28"/>
      <c r="H350" s="28"/>
      <c r="I350" s="28"/>
      <c r="J350" s="28"/>
      <c r="K350" s="36"/>
      <c r="L350" s="28"/>
      <c r="M350" s="28"/>
      <c r="N350" s="28"/>
      <c r="O350" s="28"/>
      <c r="P350" s="28"/>
      <c r="Q350" s="36"/>
      <c r="R350" s="36"/>
      <c r="S350" s="36"/>
      <c r="T350" s="36"/>
      <c r="U350" s="36"/>
      <c r="V350" s="36"/>
      <c r="W350" s="36"/>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row>
    <row r="351" spans="1:85" ht="12.75" x14ac:dyDescent="0.2">
      <c r="A351" s="28"/>
      <c r="B351" s="28"/>
      <c r="C351" s="28"/>
      <c r="D351" s="28"/>
      <c r="E351" s="28"/>
      <c r="F351" s="28"/>
      <c r="G351" s="28"/>
      <c r="H351" s="28"/>
      <c r="I351" s="28"/>
      <c r="J351" s="28"/>
      <c r="K351" s="36"/>
      <c r="L351" s="28"/>
      <c r="M351" s="28"/>
      <c r="N351" s="28"/>
      <c r="O351" s="28"/>
      <c r="P351" s="28"/>
      <c r="Q351" s="36"/>
      <c r="R351" s="36"/>
      <c r="S351" s="36"/>
      <c r="T351" s="36"/>
      <c r="U351" s="36"/>
      <c r="V351" s="36"/>
      <c r="W351" s="36"/>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c r="BG351" s="28"/>
      <c r="BH351" s="28"/>
      <c r="BI351" s="28"/>
      <c r="BJ351" s="28"/>
      <c r="BK351" s="28"/>
      <c r="BL351" s="28"/>
      <c r="BM351" s="28"/>
      <c r="BN351" s="28"/>
      <c r="BO351" s="28"/>
      <c r="BP351" s="28"/>
      <c r="BQ351" s="28"/>
      <c r="BR351" s="28"/>
      <c r="BS351" s="28"/>
      <c r="BT351" s="28"/>
      <c r="BU351" s="28"/>
      <c r="BV351" s="28"/>
      <c r="BW351" s="28"/>
      <c r="BX351" s="28"/>
      <c r="BY351" s="28"/>
      <c r="BZ351" s="28"/>
      <c r="CA351" s="28"/>
      <c r="CB351" s="28"/>
      <c r="CC351" s="28"/>
      <c r="CD351" s="28"/>
      <c r="CE351" s="28"/>
      <c r="CF351" s="28"/>
      <c r="CG351" s="28"/>
    </row>
    <row r="352" spans="1:85" ht="12.75" x14ac:dyDescent="0.2">
      <c r="A352" s="28"/>
      <c r="B352" s="28"/>
      <c r="C352" s="28"/>
      <c r="D352" s="28"/>
      <c r="E352" s="28"/>
      <c r="F352" s="28"/>
      <c r="G352" s="28"/>
      <c r="H352" s="28"/>
      <c r="I352" s="28"/>
      <c r="J352" s="28"/>
      <c r="K352" s="36"/>
      <c r="L352" s="28"/>
      <c r="M352" s="28"/>
      <c r="N352" s="28"/>
      <c r="O352" s="28"/>
      <c r="P352" s="28"/>
      <c r="Q352" s="36"/>
      <c r="R352" s="36"/>
      <c r="S352" s="36"/>
      <c r="T352" s="36"/>
      <c r="U352" s="36"/>
      <c r="V352" s="36"/>
      <c r="W352" s="36"/>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c r="BW352" s="28"/>
      <c r="BX352" s="28"/>
      <c r="BY352" s="28"/>
      <c r="BZ352" s="28"/>
      <c r="CA352" s="28"/>
      <c r="CB352" s="28"/>
      <c r="CC352" s="28"/>
      <c r="CD352" s="28"/>
      <c r="CE352" s="28"/>
      <c r="CF352" s="28"/>
      <c r="CG352" s="28"/>
    </row>
    <row r="353" spans="1:85" ht="12.75" x14ac:dyDescent="0.2">
      <c r="A353" s="28"/>
      <c r="B353" s="28"/>
      <c r="C353" s="28"/>
      <c r="D353" s="28"/>
      <c r="E353" s="28"/>
      <c r="F353" s="28"/>
      <c r="G353" s="28"/>
      <c r="H353" s="28"/>
      <c r="I353" s="28"/>
      <c r="J353" s="28"/>
      <c r="K353" s="36"/>
      <c r="L353" s="28"/>
      <c r="M353" s="28"/>
      <c r="N353" s="28"/>
      <c r="O353" s="28"/>
      <c r="P353" s="28"/>
      <c r="Q353" s="36"/>
      <c r="R353" s="36"/>
      <c r="S353" s="36"/>
      <c r="T353" s="36"/>
      <c r="U353" s="36"/>
      <c r="V353" s="36"/>
      <c r="W353" s="36"/>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c r="BR353" s="28"/>
      <c r="BS353" s="28"/>
      <c r="BT353" s="28"/>
      <c r="BU353" s="28"/>
      <c r="BV353" s="28"/>
      <c r="BW353" s="28"/>
      <c r="BX353" s="28"/>
      <c r="BY353" s="28"/>
      <c r="BZ353" s="28"/>
      <c r="CA353" s="28"/>
      <c r="CB353" s="28"/>
      <c r="CC353" s="28"/>
      <c r="CD353" s="28"/>
      <c r="CE353" s="28"/>
      <c r="CF353" s="28"/>
      <c r="CG353" s="28"/>
    </row>
    <row r="354" spans="1:85" ht="12.75" x14ac:dyDescent="0.2">
      <c r="A354" s="28"/>
      <c r="B354" s="28"/>
      <c r="C354" s="28"/>
      <c r="D354" s="28"/>
      <c r="E354" s="28"/>
      <c r="F354" s="28"/>
      <c r="G354" s="28"/>
      <c r="H354" s="28"/>
      <c r="I354" s="28"/>
      <c r="J354" s="28"/>
      <c r="K354" s="36"/>
      <c r="L354" s="28"/>
      <c r="M354" s="28"/>
      <c r="N354" s="28"/>
      <c r="O354" s="28"/>
      <c r="P354" s="28"/>
      <c r="Q354" s="36"/>
      <c r="R354" s="36"/>
      <c r="S354" s="36"/>
      <c r="T354" s="36"/>
      <c r="U354" s="36"/>
      <c r="V354" s="36"/>
      <c r="W354" s="36"/>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c r="BW354" s="28"/>
      <c r="BX354" s="28"/>
      <c r="BY354" s="28"/>
      <c r="BZ354" s="28"/>
      <c r="CA354" s="28"/>
      <c r="CB354" s="28"/>
      <c r="CC354" s="28"/>
      <c r="CD354" s="28"/>
      <c r="CE354" s="28"/>
      <c r="CF354" s="28"/>
      <c r="CG354" s="28"/>
    </row>
    <row r="355" spans="1:85" ht="12.75" x14ac:dyDescent="0.2">
      <c r="A355" s="28"/>
      <c r="B355" s="28"/>
      <c r="C355" s="28"/>
      <c r="D355" s="28"/>
      <c r="E355" s="28"/>
      <c r="F355" s="28"/>
      <c r="G355" s="28"/>
      <c r="H355" s="28"/>
      <c r="I355" s="28"/>
      <c r="J355" s="28"/>
      <c r="K355" s="36"/>
      <c r="L355" s="28"/>
      <c r="M355" s="28"/>
      <c r="N355" s="28"/>
      <c r="O355" s="28"/>
      <c r="P355" s="28"/>
      <c r="Q355" s="36"/>
      <c r="R355" s="36"/>
      <c r="S355" s="36"/>
      <c r="T355" s="36"/>
      <c r="U355" s="36"/>
      <c r="V355" s="36"/>
      <c r="W355" s="36"/>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c r="BG355" s="28"/>
      <c r="BH355" s="28"/>
      <c r="BI355" s="28"/>
      <c r="BJ355" s="28"/>
      <c r="BK355" s="28"/>
      <c r="BL355" s="28"/>
      <c r="BM355" s="28"/>
      <c r="BN355" s="28"/>
      <c r="BO355" s="28"/>
      <c r="BP355" s="28"/>
      <c r="BQ355" s="28"/>
      <c r="BR355" s="28"/>
      <c r="BS355" s="28"/>
      <c r="BT355" s="28"/>
      <c r="BU355" s="28"/>
      <c r="BV355" s="28"/>
      <c r="BW355" s="28"/>
      <c r="BX355" s="28"/>
      <c r="BY355" s="28"/>
      <c r="BZ355" s="28"/>
      <c r="CA355" s="28"/>
      <c r="CB355" s="28"/>
      <c r="CC355" s="28"/>
      <c r="CD355" s="28"/>
      <c r="CE355" s="28"/>
      <c r="CF355" s="28"/>
      <c r="CG355" s="28"/>
    </row>
    <row r="356" spans="1:85" ht="12.75" x14ac:dyDescent="0.2">
      <c r="A356" s="28"/>
      <c r="B356" s="28"/>
      <c r="C356" s="28"/>
      <c r="D356" s="28"/>
      <c r="E356" s="28"/>
      <c r="F356" s="28"/>
      <c r="G356" s="28"/>
      <c r="H356" s="28"/>
      <c r="I356" s="28"/>
      <c r="J356" s="28"/>
      <c r="K356" s="36"/>
      <c r="L356" s="28"/>
      <c r="M356" s="28"/>
      <c r="N356" s="28"/>
      <c r="O356" s="28"/>
      <c r="P356" s="28"/>
      <c r="Q356" s="36"/>
      <c r="R356" s="36"/>
      <c r="S356" s="36"/>
      <c r="T356" s="36"/>
      <c r="U356" s="36"/>
      <c r="V356" s="36"/>
      <c r="W356" s="36"/>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8"/>
      <c r="CF356" s="28"/>
      <c r="CG356" s="28"/>
    </row>
    <row r="357" spans="1:85" ht="12.75" x14ac:dyDescent="0.2">
      <c r="A357" s="28"/>
      <c r="B357" s="28"/>
      <c r="C357" s="28"/>
      <c r="D357" s="28"/>
      <c r="E357" s="28"/>
      <c r="F357" s="28"/>
      <c r="G357" s="28"/>
      <c r="H357" s="28"/>
      <c r="I357" s="28"/>
      <c r="J357" s="28"/>
      <c r="K357" s="36"/>
      <c r="L357" s="28"/>
      <c r="M357" s="28"/>
      <c r="N357" s="28"/>
      <c r="O357" s="28"/>
      <c r="P357" s="28"/>
      <c r="Q357" s="36"/>
      <c r="R357" s="36"/>
      <c r="S357" s="36"/>
      <c r="T357" s="36"/>
      <c r="U357" s="36"/>
      <c r="V357" s="36"/>
      <c r="W357" s="36"/>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c r="BG357" s="28"/>
      <c r="BH357" s="28"/>
      <c r="BI357" s="28"/>
      <c r="BJ357" s="28"/>
      <c r="BK357" s="28"/>
      <c r="BL357" s="28"/>
      <c r="BM357" s="28"/>
      <c r="BN357" s="28"/>
      <c r="BO357" s="28"/>
      <c r="BP357" s="28"/>
      <c r="BQ357" s="28"/>
      <c r="BR357" s="28"/>
      <c r="BS357" s="28"/>
      <c r="BT357" s="28"/>
      <c r="BU357" s="28"/>
      <c r="BV357" s="28"/>
      <c r="BW357" s="28"/>
      <c r="BX357" s="28"/>
      <c r="BY357" s="28"/>
      <c r="BZ357" s="28"/>
      <c r="CA357" s="28"/>
      <c r="CB357" s="28"/>
      <c r="CC357" s="28"/>
      <c r="CD357" s="28"/>
      <c r="CE357" s="28"/>
      <c r="CF357" s="28"/>
      <c r="CG357" s="28"/>
    </row>
    <row r="358" spans="1:85" ht="12.75" x14ac:dyDescent="0.2">
      <c r="A358" s="28"/>
      <c r="B358" s="28"/>
      <c r="C358" s="28"/>
      <c r="D358" s="28"/>
      <c r="E358" s="28"/>
      <c r="F358" s="28"/>
      <c r="G358" s="28"/>
      <c r="H358" s="28"/>
      <c r="I358" s="28"/>
      <c r="J358" s="28"/>
      <c r="K358" s="36"/>
      <c r="L358" s="28"/>
      <c r="M358" s="28"/>
      <c r="N358" s="28"/>
      <c r="O358" s="28"/>
      <c r="P358" s="28"/>
      <c r="Q358" s="36"/>
      <c r="R358" s="36"/>
      <c r="S358" s="36"/>
      <c r="T358" s="36"/>
      <c r="U358" s="36"/>
      <c r="V358" s="36"/>
      <c r="W358" s="36"/>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c r="BW358" s="28"/>
      <c r="BX358" s="28"/>
      <c r="BY358" s="28"/>
      <c r="BZ358" s="28"/>
      <c r="CA358" s="28"/>
      <c r="CB358" s="28"/>
      <c r="CC358" s="28"/>
      <c r="CD358" s="28"/>
      <c r="CE358" s="28"/>
      <c r="CF358" s="28"/>
      <c r="CG358" s="28"/>
    </row>
    <row r="359" spans="1:85" ht="12.75" x14ac:dyDescent="0.2">
      <c r="A359" s="28"/>
      <c r="B359" s="28"/>
      <c r="C359" s="28"/>
      <c r="D359" s="28"/>
      <c r="E359" s="28"/>
      <c r="F359" s="28"/>
      <c r="G359" s="28"/>
      <c r="H359" s="28"/>
      <c r="I359" s="28"/>
      <c r="J359" s="28"/>
      <c r="K359" s="36"/>
      <c r="L359" s="28"/>
      <c r="M359" s="28"/>
      <c r="N359" s="28"/>
      <c r="O359" s="28"/>
      <c r="P359" s="28"/>
      <c r="Q359" s="36"/>
      <c r="R359" s="36"/>
      <c r="S359" s="36"/>
      <c r="T359" s="36"/>
      <c r="U359" s="36"/>
      <c r="V359" s="36"/>
      <c r="W359" s="36"/>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28"/>
      <c r="BP359" s="28"/>
      <c r="BQ359" s="28"/>
      <c r="BR359" s="28"/>
      <c r="BS359" s="28"/>
      <c r="BT359" s="28"/>
      <c r="BU359" s="28"/>
      <c r="BV359" s="28"/>
      <c r="BW359" s="28"/>
      <c r="BX359" s="28"/>
      <c r="BY359" s="28"/>
      <c r="BZ359" s="28"/>
      <c r="CA359" s="28"/>
      <c r="CB359" s="28"/>
      <c r="CC359" s="28"/>
      <c r="CD359" s="28"/>
      <c r="CE359" s="28"/>
      <c r="CF359" s="28"/>
      <c r="CG359" s="28"/>
    </row>
    <row r="360" spans="1:85" ht="12.75" x14ac:dyDescent="0.2">
      <c r="A360" s="28"/>
      <c r="B360" s="28"/>
      <c r="C360" s="28"/>
      <c r="D360" s="28"/>
      <c r="E360" s="28"/>
      <c r="F360" s="28"/>
      <c r="G360" s="28"/>
      <c r="H360" s="28"/>
      <c r="I360" s="28"/>
      <c r="J360" s="28"/>
      <c r="K360" s="36"/>
      <c r="L360" s="28"/>
      <c r="M360" s="28"/>
      <c r="N360" s="28"/>
      <c r="O360" s="28"/>
      <c r="P360" s="28"/>
      <c r="Q360" s="36"/>
      <c r="R360" s="36"/>
      <c r="S360" s="36"/>
      <c r="T360" s="36"/>
      <c r="U360" s="36"/>
      <c r="V360" s="36"/>
      <c r="W360" s="36"/>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c r="BW360" s="28"/>
      <c r="BX360" s="28"/>
      <c r="BY360" s="28"/>
      <c r="BZ360" s="28"/>
      <c r="CA360" s="28"/>
      <c r="CB360" s="28"/>
      <c r="CC360" s="28"/>
      <c r="CD360" s="28"/>
      <c r="CE360" s="28"/>
      <c r="CF360" s="28"/>
      <c r="CG360" s="28"/>
    </row>
    <row r="361" spans="1:85" ht="12.75" x14ac:dyDescent="0.2">
      <c r="A361" s="28"/>
      <c r="B361" s="28"/>
      <c r="C361" s="28"/>
      <c r="D361" s="28"/>
      <c r="E361" s="28"/>
      <c r="F361" s="28"/>
      <c r="G361" s="28"/>
      <c r="H361" s="28"/>
      <c r="I361" s="28"/>
      <c r="J361" s="28"/>
      <c r="K361" s="36"/>
      <c r="L361" s="28"/>
      <c r="M361" s="28"/>
      <c r="N361" s="28"/>
      <c r="O361" s="28"/>
      <c r="P361" s="28"/>
      <c r="Q361" s="36"/>
      <c r="R361" s="36"/>
      <c r="S361" s="36"/>
      <c r="T361" s="36"/>
      <c r="U361" s="36"/>
      <c r="V361" s="36"/>
      <c r="W361" s="36"/>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c r="BG361" s="28"/>
      <c r="BH361" s="28"/>
      <c r="BI361" s="28"/>
      <c r="BJ361" s="28"/>
      <c r="BK361" s="28"/>
      <c r="BL361" s="28"/>
      <c r="BM361" s="28"/>
      <c r="BN361" s="28"/>
      <c r="BO361" s="28"/>
      <c r="BP361" s="28"/>
      <c r="BQ361" s="28"/>
      <c r="BR361" s="28"/>
      <c r="BS361" s="28"/>
      <c r="BT361" s="28"/>
      <c r="BU361" s="28"/>
      <c r="BV361" s="28"/>
      <c r="BW361" s="28"/>
      <c r="BX361" s="28"/>
      <c r="BY361" s="28"/>
      <c r="BZ361" s="28"/>
      <c r="CA361" s="28"/>
      <c r="CB361" s="28"/>
      <c r="CC361" s="28"/>
      <c r="CD361" s="28"/>
      <c r="CE361" s="28"/>
      <c r="CF361" s="28"/>
      <c r="CG361" s="28"/>
    </row>
    <row r="362" spans="1:85" ht="12.75" x14ac:dyDescent="0.2">
      <c r="A362" s="28"/>
      <c r="B362" s="28"/>
      <c r="C362" s="28"/>
      <c r="D362" s="28"/>
      <c r="E362" s="28"/>
      <c r="F362" s="28"/>
      <c r="G362" s="28"/>
      <c r="H362" s="28"/>
      <c r="I362" s="28"/>
      <c r="J362" s="28"/>
      <c r="K362" s="36"/>
      <c r="L362" s="28"/>
      <c r="M362" s="28"/>
      <c r="N362" s="28"/>
      <c r="O362" s="28"/>
      <c r="P362" s="28"/>
      <c r="Q362" s="36"/>
      <c r="R362" s="36"/>
      <c r="S362" s="36"/>
      <c r="T362" s="36"/>
      <c r="U362" s="36"/>
      <c r="V362" s="36"/>
      <c r="W362" s="36"/>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8"/>
      <c r="CF362" s="28"/>
      <c r="CG362" s="28"/>
    </row>
    <row r="363" spans="1:85" ht="12.75" x14ac:dyDescent="0.2">
      <c r="A363" s="28"/>
      <c r="B363" s="28"/>
      <c r="C363" s="28"/>
      <c r="D363" s="28"/>
      <c r="E363" s="28"/>
      <c r="F363" s="28"/>
      <c r="G363" s="28"/>
      <c r="H363" s="28"/>
      <c r="I363" s="28"/>
      <c r="J363" s="28"/>
      <c r="K363" s="36"/>
      <c r="L363" s="28"/>
      <c r="M363" s="28"/>
      <c r="N363" s="28"/>
      <c r="O363" s="28"/>
      <c r="P363" s="28"/>
      <c r="Q363" s="36"/>
      <c r="R363" s="36"/>
      <c r="S363" s="36"/>
      <c r="T363" s="36"/>
      <c r="U363" s="36"/>
      <c r="V363" s="36"/>
      <c r="W363" s="36"/>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c r="BG363" s="28"/>
      <c r="BH363" s="28"/>
      <c r="BI363" s="28"/>
      <c r="BJ363" s="28"/>
      <c r="BK363" s="28"/>
      <c r="BL363" s="28"/>
      <c r="BM363" s="28"/>
      <c r="BN363" s="28"/>
      <c r="BO363" s="28"/>
      <c r="BP363" s="28"/>
      <c r="BQ363" s="28"/>
      <c r="BR363" s="28"/>
      <c r="BS363" s="28"/>
      <c r="BT363" s="28"/>
      <c r="BU363" s="28"/>
      <c r="BV363" s="28"/>
      <c r="BW363" s="28"/>
      <c r="BX363" s="28"/>
      <c r="BY363" s="28"/>
      <c r="BZ363" s="28"/>
      <c r="CA363" s="28"/>
      <c r="CB363" s="28"/>
      <c r="CC363" s="28"/>
      <c r="CD363" s="28"/>
      <c r="CE363" s="28"/>
      <c r="CF363" s="28"/>
      <c r="CG363" s="28"/>
    </row>
    <row r="364" spans="1:85" ht="12.75" x14ac:dyDescent="0.2">
      <c r="A364" s="28"/>
      <c r="B364" s="28"/>
      <c r="C364" s="28"/>
      <c r="D364" s="28"/>
      <c r="E364" s="28"/>
      <c r="F364" s="28"/>
      <c r="G364" s="28"/>
      <c r="H364" s="28"/>
      <c r="I364" s="28"/>
      <c r="J364" s="28"/>
      <c r="K364" s="36"/>
      <c r="L364" s="28"/>
      <c r="M364" s="28"/>
      <c r="N364" s="28"/>
      <c r="O364" s="28"/>
      <c r="P364" s="28"/>
      <c r="Q364" s="36"/>
      <c r="R364" s="36"/>
      <c r="S364" s="36"/>
      <c r="T364" s="36"/>
      <c r="U364" s="36"/>
      <c r="V364" s="36"/>
      <c r="W364" s="36"/>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c r="BW364" s="28"/>
      <c r="BX364" s="28"/>
      <c r="BY364" s="28"/>
      <c r="BZ364" s="28"/>
      <c r="CA364" s="28"/>
      <c r="CB364" s="28"/>
      <c r="CC364" s="28"/>
      <c r="CD364" s="28"/>
      <c r="CE364" s="28"/>
      <c r="CF364" s="28"/>
      <c r="CG364" s="28"/>
    </row>
    <row r="365" spans="1:85" ht="12.75" x14ac:dyDescent="0.2">
      <c r="A365" s="28"/>
      <c r="B365" s="28"/>
      <c r="C365" s="28"/>
      <c r="D365" s="28"/>
      <c r="E365" s="28"/>
      <c r="F365" s="28"/>
      <c r="G365" s="28"/>
      <c r="H365" s="28"/>
      <c r="I365" s="28"/>
      <c r="J365" s="28"/>
      <c r="K365" s="36"/>
      <c r="L365" s="28"/>
      <c r="M365" s="28"/>
      <c r="N365" s="28"/>
      <c r="O365" s="28"/>
      <c r="P365" s="28"/>
      <c r="Q365" s="36"/>
      <c r="R365" s="36"/>
      <c r="S365" s="36"/>
      <c r="T365" s="36"/>
      <c r="U365" s="36"/>
      <c r="V365" s="36"/>
      <c r="W365" s="36"/>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28"/>
      <c r="BP365" s="28"/>
      <c r="BQ365" s="28"/>
      <c r="BR365" s="28"/>
      <c r="BS365" s="28"/>
      <c r="BT365" s="28"/>
      <c r="BU365" s="28"/>
      <c r="BV365" s="28"/>
      <c r="BW365" s="28"/>
      <c r="BX365" s="28"/>
      <c r="BY365" s="28"/>
      <c r="BZ365" s="28"/>
      <c r="CA365" s="28"/>
      <c r="CB365" s="28"/>
      <c r="CC365" s="28"/>
      <c r="CD365" s="28"/>
      <c r="CE365" s="28"/>
      <c r="CF365" s="28"/>
      <c r="CG365" s="28"/>
    </row>
    <row r="366" spans="1:85" ht="12.75" x14ac:dyDescent="0.2">
      <c r="A366" s="28"/>
      <c r="B366" s="28"/>
      <c r="C366" s="28"/>
      <c r="D366" s="28"/>
      <c r="E366" s="28"/>
      <c r="F366" s="28"/>
      <c r="G366" s="28"/>
      <c r="H366" s="28"/>
      <c r="I366" s="28"/>
      <c r="J366" s="28"/>
      <c r="K366" s="36"/>
      <c r="L366" s="28"/>
      <c r="M366" s="28"/>
      <c r="N366" s="28"/>
      <c r="O366" s="28"/>
      <c r="P366" s="28"/>
      <c r="Q366" s="36"/>
      <c r="R366" s="36"/>
      <c r="S366" s="36"/>
      <c r="T366" s="36"/>
      <c r="U366" s="36"/>
      <c r="V366" s="36"/>
      <c r="W366" s="36"/>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c r="BW366" s="28"/>
      <c r="BX366" s="28"/>
      <c r="BY366" s="28"/>
      <c r="BZ366" s="28"/>
      <c r="CA366" s="28"/>
      <c r="CB366" s="28"/>
      <c r="CC366" s="28"/>
      <c r="CD366" s="28"/>
      <c r="CE366" s="28"/>
      <c r="CF366" s="28"/>
      <c r="CG366" s="28"/>
    </row>
    <row r="367" spans="1:85" ht="12.75" x14ac:dyDescent="0.2">
      <c r="A367" s="28"/>
      <c r="B367" s="28"/>
      <c r="C367" s="28"/>
      <c r="D367" s="28"/>
      <c r="E367" s="28"/>
      <c r="F367" s="28"/>
      <c r="G367" s="28"/>
      <c r="H367" s="28"/>
      <c r="I367" s="28"/>
      <c r="J367" s="28"/>
      <c r="K367" s="36"/>
      <c r="L367" s="28"/>
      <c r="M367" s="28"/>
      <c r="N367" s="28"/>
      <c r="O367" s="28"/>
      <c r="P367" s="28"/>
      <c r="Q367" s="36"/>
      <c r="R367" s="36"/>
      <c r="S367" s="36"/>
      <c r="T367" s="36"/>
      <c r="U367" s="36"/>
      <c r="V367" s="36"/>
      <c r="W367" s="36"/>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c r="BG367" s="28"/>
      <c r="BH367" s="28"/>
      <c r="BI367" s="28"/>
      <c r="BJ367" s="28"/>
      <c r="BK367" s="28"/>
      <c r="BL367" s="28"/>
      <c r="BM367" s="28"/>
      <c r="BN367" s="28"/>
      <c r="BO367" s="28"/>
      <c r="BP367" s="28"/>
      <c r="BQ367" s="28"/>
      <c r="BR367" s="28"/>
      <c r="BS367" s="28"/>
      <c r="BT367" s="28"/>
      <c r="BU367" s="28"/>
      <c r="BV367" s="28"/>
      <c r="BW367" s="28"/>
      <c r="BX367" s="28"/>
      <c r="BY367" s="28"/>
      <c r="BZ367" s="28"/>
      <c r="CA367" s="28"/>
      <c r="CB367" s="28"/>
      <c r="CC367" s="28"/>
      <c r="CD367" s="28"/>
      <c r="CE367" s="28"/>
      <c r="CF367" s="28"/>
      <c r="CG367" s="28"/>
    </row>
    <row r="368" spans="1:85" ht="12.75" x14ac:dyDescent="0.2">
      <c r="A368" s="28"/>
      <c r="B368" s="28"/>
      <c r="C368" s="28"/>
      <c r="D368" s="28"/>
      <c r="E368" s="28"/>
      <c r="F368" s="28"/>
      <c r="G368" s="28"/>
      <c r="H368" s="28"/>
      <c r="I368" s="28"/>
      <c r="J368" s="28"/>
      <c r="K368" s="36"/>
      <c r="L368" s="28"/>
      <c r="M368" s="28"/>
      <c r="N368" s="28"/>
      <c r="O368" s="28"/>
      <c r="P368" s="28"/>
      <c r="Q368" s="36"/>
      <c r="R368" s="36"/>
      <c r="S368" s="36"/>
      <c r="T368" s="36"/>
      <c r="U368" s="36"/>
      <c r="V368" s="36"/>
      <c r="W368" s="36"/>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c r="BW368" s="28"/>
      <c r="BX368" s="28"/>
      <c r="BY368" s="28"/>
      <c r="BZ368" s="28"/>
      <c r="CA368" s="28"/>
      <c r="CB368" s="28"/>
      <c r="CC368" s="28"/>
      <c r="CD368" s="28"/>
      <c r="CE368" s="28"/>
      <c r="CF368" s="28"/>
      <c r="CG368" s="28"/>
    </row>
    <row r="369" spans="1:85" ht="12.75" x14ac:dyDescent="0.2">
      <c r="A369" s="28"/>
      <c r="B369" s="28"/>
      <c r="C369" s="28"/>
      <c r="D369" s="28"/>
      <c r="E369" s="28"/>
      <c r="F369" s="28"/>
      <c r="G369" s="28"/>
      <c r="H369" s="28"/>
      <c r="I369" s="28"/>
      <c r="J369" s="28"/>
      <c r="K369" s="36"/>
      <c r="L369" s="28"/>
      <c r="M369" s="28"/>
      <c r="N369" s="28"/>
      <c r="O369" s="28"/>
      <c r="P369" s="28"/>
      <c r="Q369" s="36"/>
      <c r="R369" s="36"/>
      <c r="S369" s="36"/>
      <c r="T369" s="36"/>
      <c r="U369" s="36"/>
      <c r="V369" s="36"/>
      <c r="W369" s="36"/>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c r="BG369" s="28"/>
      <c r="BH369" s="28"/>
      <c r="BI369" s="28"/>
      <c r="BJ369" s="28"/>
      <c r="BK369" s="28"/>
      <c r="BL369" s="28"/>
      <c r="BM369" s="28"/>
      <c r="BN369" s="28"/>
      <c r="BO369" s="28"/>
      <c r="BP369" s="28"/>
      <c r="BQ369" s="28"/>
      <c r="BR369" s="28"/>
      <c r="BS369" s="28"/>
      <c r="BT369" s="28"/>
      <c r="BU369" s="28"/>
      <c r="BV369" s="28"/>
      <c r="BW369" s="28"/>
      <c r="BX369" s="28"/>
      <c r="BY369" s="28"/>
      <c r="BZ369" s="28"/>
      <c r="CA369" s="28"/>
      <c r="CB369" s="28"/>
      <c r="CC369" s="28"/>
      <c r="CD369" s="28"/>
      <c r="CE369" s="28"/>
      <c r="CF369" s="28"/>
      <c r="CG369" s="28"/>
    </row>
    <row r="370" spans="1:85" ht="12.75" x14ac:dyDescent="0.2">
      <c r="A370" s="28"/>
      <c r="B370" s="28"/>
      <c r="C370" s="28"/>
      <c r="D370" s="28"/>
      <c r="E370" s="28"/>
      <c r="F370" s="28"/>
      <c r="G370" s="28"/>
      <c r="H370" s="28"/>
      <c r="I370" s="28"/>
      <c r="J370" s="28"/>
      <c r="K370" s="36"/>
      <c r="L370" s="28"/>
      <c r="M370" s="28"/>
      <c r="N370" s="28"/>
      <c r="O370" s="28"/>
      <c r="P370" s="28"/>
      <c r="Q370" s="36"/>
      <c r="R370" s="36"/>
      <c r="S370" s="36"/>
      <c r="T370" s="36"/>
      <c r="U370" s="36"/>
      <c r="V370" s="36"/>
      <c r="W370" s="36"/>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c r="BW370" s="28"/>
      <c r="BX370" s="28"/>
      <c r="BY370" s="28"/>
      <c r="BZ370" s="28"/>
      <c r="CA370" s="28"/>
      <c r="CB370" s="28"/>
      <c r="CC370" s="28"/>
      <c r="CD370" s="28"/>
      <c r="CE370" s="28"/>
      <c r="CF370" s="28"/>
      <c r="CG370" s="28"/>
    </row>
    <row r="371" spans="1:85" ht="12.75" x14ac:dyDescent="0.2">
      <c r="A371" s="28"/>
      <c r="B371" s="28"/>
      <c r="C371" s="28"/>
      <c r="D371" s="28"/>
      <c r="E371" s="28"/>
      <c r="F371" s="28"/>
      <c r="G371" s="28"/>
      <c r="H371" s="28"/>
      <c r="I371" s="28"/>
      <c r="J371" s="28"/>
      <c r="K371" s="36"/>
      <c r="L371" s="28"/>
      <c r="M371" s="28"/>
      <c r="N371" s="28"/>
      <c r="O371" s="28"/>
      <c r="P371" s="28"/>
      <c r="Q371" s="36"/>
      <c r="R371" s="36"/>
      <c r="S371" s="36"/>
      <c r="T371" s="36"/>
      <c r="U371" s="36"/>
      <c r="V371" s="36"/>
      <c r="W371" s="36"/>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c r="BG371" s="28"/>
      <c r="BH371" s="28"/>
      <c r="BI371" s="28"/>
      <c r="BJ371" s="28"/>
      <c r="BK371" s="28"/>
      <c r="BL371" s="28"/>
      <c r="BM371" s="28"/>
      <c r="BN371" s="28"/>
      <c r="BO371" s="28"/>
      <c r="BP371" s="28"/>
      <c r="BQ371" s="28"/>
      <c r="BR371" s="28"/>
      <c r="BS371" s="28"/>
      <c r="BT371" s="28"/>
      <c r="BU371" s="28"/>
      <c r="BV371" s="28"/>
      <c r="BW371" s="28"/>
      <c r="BX371" s="28"/>
      <c r="BY371" s="28"/>
      <c r="BZ371" s="28"/>
      <c r="CA371" s="28"/>
      <c r="CB371" s="28"/>
      <c r="CC371" s="28"/>
      <c r="CD371" s="28"/>
      <c r="CE371" s="28"/>
      <c r="CF371" s="28"/>
      <c r="CG371" s="28"/>
    </row>
    <row r="372" spans="1:85" ht="12.75" x14ac:dyDescent="0.2">
      <c r="A372" s="28"/>
      <c r="B372" s="28"/>
      <c r="C372" s="28"/>
      <c r="D372" s="28"/>
      <c r="E372" s="28"/>
      <c r="F372" s="28"/>
      <c r="G372" s="28"/>
      <c r="H372" s="28"/>
      <c r="I372" s="28"/>
      <c r="J372" s="28"/>
      <c r="K372" s="36"/>
      <c r="L372" s="28"/>
      <c r="M372" s="28"/>
      <c r="N372" s="28"/>
      <c r="O372" s="28"/>
      <c r="P372" s="28"/>
      <c r="Q372" s="36"/>
      <c r="R372" s="36"/>
      <c r="S372" s="36"/>
      <c r="T372" s="36"/>
      <c r="U372" s="36"/>
      <c r="V372" s="36"/>
      <c r="W372" s="36"/>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c r="BW372" s="28"/>
      <c r="BX372" s="28"/>
      <c r="BY372" s="28"/>
      <c r="BZ372" s="28"/>
      <c r="CA372" s="28"/>
      <c r="CB372" s="28"/>
      <c r="CC372" s="28"/>
      <c r="CD372" s="28"/>
      <c r="CE372" s="28"/>
      <c r="CF372" s="28"/>
      <c r="CG372" s="28"/>
    </row>
    <row r="373" spans="1:85" ht="12.75" x14ac:dyDescent="0.2">
      <c r="A373" s="28"/>
      <c r="B373" s="28"/>
      <c r="C373" s="28"/>
      <c r="D373" s="28"/>
      <c r="E373" s="28"/>
      <c r="F373" s="28"/>
      <c r="G373" s="28"/>
      <c r="H373" s="28"/>
      <c r="I373" s="28"/>
      <c r="J373" s="28"/>
      <c r="K373" s="36"/>
      <c r="L373" s="28"/>
      <c r="M373" s="28"/>
      <c r="N373" s="28"/>
      <c r="O373" s="28"/>
      <c r="P373" s="28"/>
      <c r="Q373" s="36"/>
      <c r="R373" s="36"/>
      <c r="S373" s="36"/>
      <c r="T373" s="36"/>
      <c r="U373" s="36"/>
      <c r="V373" s="36"/>
      <c r="W373" s="36"/>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c r="BG373" s="28"/>
      <c r="BH373" s="28"/>
      <c r="BI373" s="28"/>
      <c r="BJ373" s="28"/>
      <c r="BK373" s="28"/>
      <c r="BL373" s="28"/>
      <c r="BM373" s="28"/>
      <c r="BN373" s="28"/>
      <c r="BO373" s="28"/>
      <c r="BP373" s="28"/>
      <c r="BQ373" s="28"/>
      <c r="BR373" s="28"/>
      <c r="BS373" s="28"/>
      <c r="BT373" s="28"/>
      <c r="BU373" s="28"/>
      <c r="BV373" s="28"/>
      <c r="BW373" s="28"/>
      <c r="BX373" s="28"/>
      <c r="BY373" s="28"/>
      <c r="BZ373" s="28"/>
      <c r="CA373" s="28"/>
      <c r="CB373" s="28"/>
      <c r="CC373" s="28"/>
      <c r="CD373" s="28"/>
      <c r="CE373" s="28"/>
      <c r="CF373" s="28"/>
      <c r="CG373" s="28"/>
    </row>
    <row r="374" spans="1:85" ht="12.75" x14ac:dyDescent="0.2">
      <c r="A374" s="28"/>
      <c r="B374" s="28"/>
      <c r="C374" s="28"/>
      <c r="D374" s="28"/>
      <c r="E374" s="28"/>
      <c r="F374" s="28"/>
      <c r="G374" s="28"/>
      <c r="H374" s="28"/>
      <c r="I374" s="28"/>
      <c r="J374" s="28"/>
      <c r="K374" s="36"/>
      <c r="L374" s="28"/>
      <c r="M374" s="28"/>
      <c r="N374" s="28"/>
      <c r="O374" s="28"/>
      <c r="P374" s="28"/>
      <c r="Q374" s="36"/>
      <c r="R374" s="36"/>
      <c r="S374" s="36"/>
      <c r="T374" s="36"/>
      <c r="U374" s="36"/>
      <c r="V374" s="36"/>
      <c r="W374" s="36"/>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c r="BW374" s="28"/>
      <c r="BX374" s="28"/>
      <c r="BY374" s="28"/>
      <c r="BZ374" s="28"/>
      <c r="CA374" s="28"/>
      <c r="CB374" s="28"/>
      <c r="CC374" s="28"/>
      <c r="CD374" s="28"/>
      <c r="CE374" s="28"/>
      <c r="CF374" s="28"/>
      <c r="CG374" s="28"/>
    </row>
    <row r="375" spans="1:85" ht="12.75" x14ac:dyDescent="0.2">
      <c r="A375" s="28"/>
      <c r="B375" s="28"/>
      <c r="C375" s="28"/>
      <c r="D375" s="28"/>
      <c r="E375" s="28"/>
      <c r="F375" s="28"/>
      <c r="G375" s="28"/>
      <c r="H375" s="28"/>
      <c r="I375" s="28"/>
      <c r="J375" s="28"/>
      <c r="K375" s="36"/>
      <c r="L375" s="28"/>
      <c r="M375" s="28"/>
      <c r="N375" s="28"/>
      <c r="O375" s="28"/>
      <c r="P375" s="28"/>
      <c r="Q375" s="36"/>
      <c r="R375" s="36"/>
      <c r="S375" s="36"/>
      <c r="T375" s="36"/>
      <c r="U375" s="36"/>
      <c r="V375" s="36"/>
      <c r="W375" s="36"/>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c r="BG375" s="28"/>
      <c r="BH375" s="28"/>
      <c r="BI375" s="28"/>
      <c r="BJ375" s="28"/>
      <c r="BK375" s="28"/>
      <c r="BL375" s="28"/>
      <c r="BM375" s="28"/>
      <c r="BN375" s="28"/>
      <c r="BO375" s="28"/>
      <c r="BP375" s="28"/>
      <c r="BQ375" s="28"/>
      <c r="BR375" s="28"/>
      <c r="BS375" s="28"/>
      <c r="BT375" s="28"/>
      <c r="BU375" s="28"/>
      <c r="BV375" s="28"/>
      <c r="BW375" s="28"/>
      <c r="BX375" s="28"/>
      <c r="BY375" s="28"/>
      <c r="BZ375" s="28"/>
      <c r="CA375" s="28"/>
      <c r="CB375" s="28"/>
      <c r="CC375" s="28"/>
      <c r="CD375" s="28"/>
      <c r="CE375" s="28"/>
      <c r="CF375" s="28"/>
      <c r="CG375" s="28"/>
    </row>
    <row r="376" spans="1:85" ht="12.75" x14ac:dyDescent="0.2">
      <c r="A376" s="28"/>
      <c r="B376" s="28"/>
      <c r="C376" s="28"/>
      <c r="D376" s="28"/>
      <c r="E376" s="28"/>
      <c r="F376" s="28"/>
      <c r="G376" s="28"/>
      <c r="H376" s="28"/>
      <c r="I376" s="28"/>
      <c r="J376" s="28"/>
      <c r="K376" s="36"/>
      <c r="L376" s="28"/>
      <c r="M376" s="28"/>
      <c r="N376" s="28"/>
      <c r="O376" s="28"/>
      <c r="P376" s="28"/>
      <c r="Q376" s="36"/>
      <c r="R376" s="36"/>
      <c r="S376" s="36"/>
      <c r="T376" s="36"/>
      <c r="U376" s="36"/>
      <c r="V376" s="36"/>
      <c r="W376" s="36"/>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8"/>
      <c r="BW376" s="28"/>
      <c r="BX376" s="28"/>
      <c r="BY376" s="28"/>
      <c r="BZ376" s="28"/>
      <c r="CA376" s="28"/>
      <c r="CB376" s="28"/>
      <c r="CC376" s="28"/>
      <c r="CD376" s="28"/>
      <c r="CE376" s="28"/>
      <c r="CF376" s="28"/>
      <c r="CG376" s="28"/>
    </row>
    <row r="377" spans="1:85" ht="12.75" x14ac:dyDescent="0.2">
      <c r="A377" s="28"/>
      <c r="B377" s="28"/>
      <c r="C377" s="28"/>
      <c r="D377" s="28"/>
      <c r="E377" s="28"/>
      <c r="F377" s="28"/>
      <c r="G377" s="28"/>
      <c r="H377" s="28"/>
      <c r="I377" s="28"/>
      <c r="J377" s="28"/>
      <c r="K377" s="36"/>
      <c r="L377" s="28"/>
      <c r="M377" s="28"/>
      <c r="N377" s="28"/>
      <c r="O377" s="28"/>
      <c r="P377" s="28"/>
      <c r="Q377" s="36"/>
      <c r="R377" s="36"/>
      <c r="S377" s="36"/>
      <c r="T377" s="36"/>
      <c r="U377" s="36"/>
      <c r="V377" s="36"/>
      <c r="W377" s="36"/>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c r="BG377" s="28"/>
      <c r="BH377" s="28"/>
      <c r="BI377" s="28"/>
      <c r="BJ377" s="28"/>
      <c r="BK377" s="28"/>
      <c r="BL377" s="28"/>
      <c r="BM377" s="28"/>
      <c r="BN377" s="28"/>
      <c r="BO377" s="28"/>
      <c r="BP377" s="28"/>
      <c r="BQ377" s="28"/>
      <c r="BR377" s="28"/>
      <c r="BS377" s="28"/>
      <c r="BT377" s="28"/>
      <c r="BU377" s="28"/>
      <c r="BV377" s="28"/>
      <c r="BW377" s="28"/>
      <c r="BX377" s="28"/>
      <c r="BY377" s="28"/>
      <c r="BZ377" s="28"/>
      <c r="CA377" s="28"/>
      <c r="CB377" s="28"/>
      <c r="CC377" s="28"/>
      <c r="CD377" s="28"/>
      <c r="CE377" s="28"/>
      <c r="CF377" s="28"/>
      <c r="CG377" s="28"/>
    </row>
    <row r="378" spans="1:85" ht="12.75" x14ac:dyDescent="0.2">
      <c r="A378" s="28"/>
      <c r="B378" s="28"/>
      <c r="C378" s="28"/>
      <c r="D378" s="28"/>
      <c r="E378" s="28"/>
      <c r="F378" s="28"/>
      <c r="G378" s="28"/>
      <c r="H378" s="28"/>
      <c r="I378" s="28"/>
      <c r="J378" s="28"/>
      <c r="K378" s="36"/>
      <c r="L378" s="28"/>
      <c r="M378" s="28"/>
      <c r="N378" s="28"/>
      <c r="O378" s="28"/>
      <c r="P378" s="28"/>
      <c r="Q378" s="36"/>
      <c r="R378" s="36"/>
      <c r="S378" s="36"/>
      <c r="T378" s="36"/>
      <c r="U378" s="36"/>
      <c r="V378" s="36"/>
      <c r="W378" s="36"/>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8"/>
      <c r="BW378" s="28"/>
      <c r="BX378" s="28"/>
      <c r="BY378" s="28"/>
      <c r="BZ378" s="28"/>
      <c r="CA378" s="28"/>
      <c r="CB378" s="28"/>
      <c r="CC378" s="28"/>
      <c r="CD378" s="28"/>
      <c r="CE378" s="28"/>
      <c r="CF378" s="28"/>
      <c r="CG378" s="28"/>
    </row>
    <row r="379" spans="1:85" ht="12.75" x14ac:dyDescent="0.2">
      <c r="A379" s="28"/>
      <c r="B379" s="28"/>
      <c r="C379" s="28"/>
      <c r="D379" s="28"/>
      <c r="E379" s="28"/>
      <c r="F379" s="28"/>
      <c r="G379" s="28"/>
      <c r="H379" s="28"/>
      <c r="I379" s="28"/>
      <c r="J379" s="28"/>
      <c r="K379" s="36"/>
      <c r="L379" s="28"/>
      <c r="M379" s="28"/>
      <c r="N379" s="28"/>
      <c r="O379" s="28"/>
      <c r="P379" s="28"/>
      <c r="Q379" s="36"/>
      <c r="R379" s="36"/>
      <c r="S379" s="36"/>
      <c r="T379" s="36"/>
      <c r="U379" s="36"/>
      <c r="V379" s="36"/>
      <c r="W379" s="36"/>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c r="BF379" s="28"/>
      <c r="BG379" s="28"/>
      <c r="BH379" s="28"/>
      <c r="BI379" s="28"/>
      <c r="BJ379" s="28"/>
      <c r="BK379" s="28"/>
      <c r="BL379" s="28"/>
      <c r="BM379" s="28"/>
      <c r="BN379" s="28"/>
      <c r="BO379" s="28"/>
      <c r="BP379" s="28"/>
      <c r="BQ379" s="28"/>
      <c r="BR379" s="28"/>
      <c r="BS379" s="28"/>
      <c r="BT379" s="28"/>
      <c r="BU379" s="28"/>
      <c r="BV379" s="28"/>
      <c r="BW379" s="28"/>
      <c r="BX379" s="28"/>
      <c r="BY379" s="28"/>
      <c r="BZ379" s="28"/>
      <c r="CA379" s="28"/>
      <c r="CB379" s="28"/>
      <c r="CC379" s="28"/>
      <c r="CD379" s="28"/>
      <c r="CE379" s="28"/>
      <c r="CF379" s="28"/>
      <c r="CG379" s="28"/>
    </row>
    <row r="380" spans="1:85" ht="12.75" x14ac:dyDescent="0.2">
      <c r="A380" s="28"/>
      <c r="B380" s="28"/>
      <c r="C380" s="28"/>
      <c r="D380" s="28"/>
      <c r="E380" s="28"/>
      <c r="F380" s="28"/>
      <c r="G380" s="28"/>
      <c r="H380" s="28"/>
      <c r="I380" s="28"/>
      <c r="J380" s="28"/>
      <c r="K380" s="36"/>
      <c r="L380" s="28"/>
      <c r="M380" s="28"/>
      <c r="N380" s="28"/>
      <c r="O380" s="28"/>
      <c r="P380" s="28"/>
      <c r="Q380" s="36"/>
      <c r="R380" s="36"/>
      <c r="S380" s="36"/>
      <c r="T380" s="36"/>
      <c r="U380" s="36"/>
      <c r="V380" s="36"/>
      <c r="W380" s="36"/>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8"/>
      <c r="BW380" s="28"/>
      <c r="BX380" s="28"/>
      <c r="BY380" s="28"/>
      <c r="BZ380" s="28"/>
      <c r="CA380" s="28"/>
      <c r="CB380" s="28"/>
      <c r="CC380" s="28"/>
      <c r="CD380" s="28"/>
      <c r="CE380" s="28"/>
      <c r="CF380" s="28"/>
      <c r="CG380" s="28"/>
    </row>
    <row r="381" spans="1:85" ht="12.75" x14ac:dyDescent="0.2">
      <c r="A381" s="28"/>
      <c r="B381" s="28"/>
      <c r="C381" s="28"/>
      <c r="D381" s="28"/>
      <c r="E381" s="28"/>
      <c r="F381" s="28"/>
      <c r="G381" s="28"/>
      <c r="H381" s="28"/>
      <c r="I381" s="28"/>
      <c r="J381" s="28"/>
      <c r="K381" s="36"/>
      <c r="L381" s="28"/>
      <c r="M381" s="28"/>
      <c r="N381" s="28"/>
      <c r="O381" s="28"/>
      <c r="P381" s="28"/>
      <c r="Q381" s="36"/>
      <c r="R381" s="36"/>
      <c r="S381" s="36"/>
      <c r="T381" s="36"/>
      <c r="U381" s="36"/>
      <c r="V381" s="36"/>
      <c r="W381" s="36"/>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c r="BF381" s="28"/>
      <c r="BG381" s="28"/>
      <c r="BH381" s="28"/>
      <c r="BI381" s="28"/>
      <c r="BJ381" s="28"/>
      <c r="BK381" s="28"/>
      <c r="BL381" s="28"/>
      <c r="BM381" s="28"/>
      <c r="BN381" s="28"/>
      <c r="BO381" s="28"/>
      <c r="BP381" s="28"/>
      <c r="BQ381" s="28"/>
      <c r="BR381" s="28"/>
      <c r="BS381" s="28"/>
      <c r="BT381" s="28"/>
      <c r="BU381" s="28"/>
      <c r="BV381" s="28"/>
      <c r="BW381" s="28"/>
      <c r="BX381" s="28"/>
      <c r="BY381" s="28"/>
      <c r="BZ381" s="28"/>
      <c r="CA381" s="28"/>
      <c r="CB381" s="28"/>
      <c r="CC381" s="28"/>
      <c r="CD381" s="28"/>
      <c r="CE381" s="28"/>
      <c r="CF381" s="28"/>
      <c r="CG381" s="28"/>
    </row>
    <row r="382" spans="1:85" ht="12.75" x14ac:dyDescent="0.2">
      <c r="A382" s="28"/>
      <c r="B382" s="28"/>
      <c r="C382" s="28"/>
      <c r="D382" s="28"/>
      <c r="E382" s="28"/>
      <c r="F382" s="28"/>
      <c r="G382" s="28"/>
      <c r="H382" s="28"/>
      <c r="I382" s="28"/>
      <c r="J382" s="28"/>
      <c r="K382" s="36"/>
      <c r="L382" s="28"/>
      <c r="M382" s="28"/>
      <c r="N382" s="28"/>
      <c r="O382" s="28"/>
      <c r="P382" s="28"/>
      <c r="Q382" s="36"/>
      <c r="R382" s="36"/>
      <c r="S382" s="36"/>
      <c r="T382" s="36"/>
      <c r="U382" s="36"/>
      <c r="V382" s="36"/>
      <c r="W382" s="36"/>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8"/>
      <c r="BW382" s="28"/>
      <c r="BX382" s="28"/>
      <c r="BY382" s="28"/>
      <c r="BZ382" s="28"/>
      <c r="CA382" s="28"/>
      <c r="CB382" s="28"/>
      <c r="CC382" s="28"/>
      <c r="CD382" s="28"/>
      <c r="CE382" s="28"/>
      <c r="CF382" s="28"/>
      <c r="CG382" s="28"/>
    </row>
    <row r="383" spans="1:85" ht="12.75" x14ac:dyDescent="0.2">
      <c r="A383" s="28"/>
      <c r="B383" s="28"/>
      <c r="C383" s="28"/>
      <c r="D383" s="28"/>
      <c r="E383" s="28"/>
      <c r="F383" s="28"/>
      <c r="G383" s="28"/>
      <c r="H383" s="28"/>
      <c r="I383" s="28"/>
      <c r="J383" s="28"/>
      <c r="K383" s="36"/>
      <c r="L383" s="28"/>
      <c r="M383" s="28"/>
      <c r="N383" s="28"/>
      <c r="O383" s="28"/>
      <c r="P383" s="28"/>
      <c r="Q383" s="36"/>
      <c r="R383" s="36"/>
      <c r="S383" s="36"/>
      <c r="T383" s="36"/>
      <c r="U383" s="36"/>
      <c r="V383" s="36"/>
      <c r="W383" s="36"/>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c r="BF383" s="28"/>
      <c r="BG383" s="28"/>
      <c r="BH383" s="28"/>
      <c r="BI383" s="28"/>
      <c r="BJ383" s="28"/>
      <c r="BK383" s="28"/>
      <c r="BL383" s="28"/>
      <c r="BM383" s="28"/>
      <c r="BN383" s="28"/>
      <c r="BO383" s="28"/>
      <c r="BP383" s="28"/>
      <c r="BQ383" s="28"/>
      <c r="BR383" s="28"/>
      <c r="BS383" s="28"/>
      <c r="BT383" s="28"/>
      <c r="BU383" s="28"/>
      <c r="BV383" s="28"/>
      <c r="BW383" s="28"/>
      <c r="BX383" s="28"/>
      <c r="BY383" s="28"/>
      <c r="BZ383" s="28"/>
      <c r="CA383" s="28"/>
      <c r="CB383" s="28"/>
      <c r="CC383" s="28"/>
      <c r="CD383" s="28"/>
      <c r="CE383" s="28"/>
      <c r="CF383" s="28"/>
      <c r="CG383" s="28"/>
    </row>
    <row r="384" spans="1:85" ht="12.75" x14ac:dyDescent="0.2">
      <c r="A384" s="28"/>
      <c r="B384" s="28"/>
      <c r="C384" s="28"/>
      <c r="D384" s="28"/>
      <c r="E384" s="28"/>
      <c r="F384" s="28"/>
      <c r="G384" s="28"/>
      <c r="H384" s="28"/>
      <c r="I384" s="28"/>
      <c r="J384" s="28"/>
      <c r="K384" s="36"/>
      <c r="L384" s="28"/>
      <c r="M384" s="28"/>
      <c r="N384" s="28"/>
      <c r="O384" s="28"/>
      <c r="P384" s="28"/>
      <c r="Q384" s="36"/>
      <c r="R384" s="36"/>
      <c r="S384" s="36"/>
      <c r="T384" s="36"/>
      <c r="U384" s="36"/>
      <c r="V384" s="36"/>
      <c r="W384" s="36"/>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8"/>
      <c r="BW384" s="28"/>
      <c r="BX384" s="28"/>
      <c r="BY384" s="28"/>
      <c r="BZ384" s="28"/>
      <c r="CA384" s="28"/>
      <c r="CB384" s="28"/>
      <c r="CC384" s="28"/>
      <c r="CD384" s="28"/>
      <c r="CE384" s="28"/>
      <c r="CF384" s="28"/>
      <c r="CG384" s="28"/>
    </row>
    <row r="385" spans="1:85" ht="12.75" x14ac:dyDescent="0.2">
      <c r="A385" s="28"/>
      <c r="B385" s="28"/>
      <c r="C385" s="28"/>
      <c r="D385" s="28"/>
      <c r="E385" s="28"/>
      <c r="F385" s="28"/>
      <c r="G385" s="28"/>
      <c r="H385" s="28"/>
      <c r="I385" s="28"/>
      <c r="J385" s="28"/>
      <c r="K385" s="36"/>
      <c r="L385" s="28"/>
      <c r="M385" s="28"/>
      <c r="N385" s="28"/>
      <c r="O385" s="28"/>
      <c r="P385" s="28"/>
      <c r="Q385" s="36"/>
      <c r="R385" s="36"/>
      <c r="S385" s="36"/>
      <c r="T385" s="36"/>
      <c r="U385" s="36"/>
      <c r="V385" s="36"/>
      <c r="W385" s="36"/>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c r="BF385" s="28"/>
      <c r="BG385" s="28"/>
      <c r="BH385" s="28"/>
      <c r="BI385" s="28"/>
      <c r="BJ385" s="28"/>
      <c r="BK385" s="28"/>
      <c r="BL385" s="28"/>
      <c r="BM385" s="28"/>
      <c r="BN385" s="28"/>
      <c r="BO385" s="28"/>
      <c r="BP385" s="28"/>
      <c r="BQ385" s="28"/>
      <c r="BR385" s="28"/>
      <c r="BS385" s="28"/>
      <c r="BT385" s="28"/>
      <c r="BU385" s="28"/>
      <c r="BV385" s="28"/>
      <c r="BW385" s="28"/>
      <c r="BX385" s="28"/>
      <c r="BY385" s="28"/>
      <c r="BZ385" s="28"/>
      <c r="CA385" s="28"/>
      <c r="CB385" s="28"/>
      <c r="CC385" s="28"/>
      <c r="CD385" s="28"/>
      <c r="CE385" s="28"/>
      <c r="CF385" s="28"/>
      <c r="CG385" s="28"/>
    </row>
    <row r="386" spans="1:85" ht="12.75" x14ac:dyDescent="0.2">
      <c r="A386" s="28"/>
      <c r="B386" s="28"/>
      <c r="C386" s="28"/>
      <c r="D386" s="28"/>
      <c r="E386" s="28"/>
      <c r="F386" s="28"/>
      <c r="G386" s="28"/>
      <c r="H386" s="28"/>
      <c r="I386" s="28"/>
      <c r="J386" s="28"/>
      <c r="K386" s="36"/>
      <c r="L386" s="28"/>
      <c r="M386" s="28"/>
      <c r="N386" s="28"/>
      <c r="O386" s="28"/>
      <c r="P386" s="28"/>
      <c r="Q386" s="36"/>
      <c r="R386" s="36"/>
      <c r="S386" s="36"/>
      <c r="T386" s="36"/>
      <c r="U386" s="36"/>
      <c r="V386" s="36"/>
      <c r="W386" s="36"/>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8"/>
      <c r="BW386" s="28"/>
      <c r="BX386" s="28"/>
      <c r="BY386" s="28"/>
      <c r="BZ386" s="28"/>
      <c r="CA386" s="28"/>
      <c r="CB386" s="28"/>
      <c r="CC386" s="28"/>
      <c r="CD386" s="28"/>
      <c r="CE386" s="28"/>
      <c r="CF386" s="28"/>
      <c r="CG386" s="28"/>
    </row>
    <row r="387" spans="1:85" ht="12.75" x14ac:dyDescent="0.2">
      <c r="A387" s="28"/>
      <c r="B387" s="28"/>
      <c r="C387" s="28"/>
      <c r="D387" s="28"/>
      <c r="E387" s="28"/>
      <c r="F387" s="28"/>
      <c r="G387" s="28"/>
      <c r="H387" s="28"/>
      <c r="I387" s="28"/>
      <c r="J387" s="28"/>
      <c r="K387" s="36"/>
      <c r="L387" s="28"/>
      <c r="M387" s="28"/>
      <c r="N387" s="28"/>
      <c r="O387" s="28"/>
      <c r="P387" s="28"/>
      <c r="Q387" s="36"/>
      <c r="R387" s="36"/>
      <c r="S387" s="36"/>
      <c r="T387" s="36"/>
      <c r="U387" s="36"/>
      <c r="V387" s="36"/>
      <c r="W387" s="36"/>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c r="BF387" s="28"/>
      <c r="BG387" s="28"/>
      <c r="BH387" s="28"/>
      <c r="BI387" s="28"/>
      <c r="BJ387" s="28"/>
      <c r="BK387" s="28"/>
      <c r="BL387" s="28"/>
      <c r="BM387" s="28"/>
      <c r="BN387" s="28"/>
      <c r="BO387" s="28"/>
      <c r="BP387" s="28"/>
      <c r="BQ387" s="28"/>
      <c r="BR387" s="28"/>
      <c r="BS387" s="28"/>
      <c r="BT387" s="28"/>
      <c r="BU387" s="28"/>
      <c r="BV387" s="28"/>
      <c r="BW387" s="28"/>
      <c r="BX387" s="28"/>
      <c r="BY387" s="28"/>
      <c r="BZ387" s="28"/>
      <c r="CA387" s="28"/>
      <c r="CB387" s="28"/>
      <c r="CC387" s="28"/>
      <c r="CD387" s="28"/>
      <c r="CE387" s="28"/>
      <c r="CF387" s="28"/>
      <c r="CG387" s="28"/>
    </row>
    <row r="388" spans="1:85" ht="12.75" x14ac:dyDescent="0.2">
      <c r="A388" s="28"/>
      <c r="B388" s="28"/>
      <c r="C388" s="28"/>
      <c r="D388" s="28"/>
      <c r="E388" s="28"/>
      <c r="F388" s="28"/>
      <c r="G388" s="28"/>
      <c r="H388" s="28"/>
      <c r="I388" s="28"/>
      <c r="J388" s="28"/>
      <c r="K388" s="36"/>
      <c r="L388" s="28"/>
      <c r="M388" s="28"/>
      <c r="N388" s="28"/>
      <c r="O388" s="28"/>
      <c r="P388" s="28"/>
      <c r="Q388" s="36"/>
      <c r="R388" s="36"/>
      <c r="S388" s="36"/>
      <c r="T388" s="36"/>
      <c r="U388" s="36"/>
      <c r="V388" s="36"/>
      <c r="W388" s="36"/>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8"/>
      <c r="BW388" s="28"/>
      <c r="BX388" s="28"/>
      <c r="BY388" s="28"/>
      <c r="BZ388" s="28"/>
      <c r="CA388" s="28"/>
      <c r="CB388" s="28"/>
      <c r="CC388" s="28"/>
      <c r="CD388" s="28"/>
      <c r="CE388" s="28"/>
      <c r="CF388" s="28"/>
      <c r="CG388" s="28"/>
    </row>
    <row r="389" spans="1:85" ht="12.75" x14ac:dyDescent="0.2">
      <c r="A389" s="28"/>
      <c r="B389" s="28"/>
      <c r="C389" s="28"/>
      <c r="D389" s="28"/>
      <c r="E389" s="28"/>
      <c r="F389" s="28"/>
      <c r="G389" s="28"/>
      <c r="H389" s="28"/>
      <c r="I389" s="28"/>
      <c r="J389" s="28"/>
      <c r="K389" s="36"/>
      <c r="L389" s="28"/>
      <c r="M389" s="28"/>
      <c r="N389" s="28"/>
      <c r="O389" s="28"/>
      <c r="P389" s="28"/>
      <c r="Q389" s="36"/>
      <c r="R389" s="36"/>
      <c r="S389" s="36"/>
      <c r="T389" s="36"/>
      <c r="U389" s="36"/>
      <c r="V389" s="36"/>
      <c r="W389" s="36"/>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c r="BG389" s="28"/>
      <c r="BH389" s="28"/>
      <c r="BI389" s="28"/>
      <c r="BJ389" s="28"/>
      <c r="BK389" s="28"/>
      <c r="BL389" s="28"/>
      <c r="BM389" s="28"/>
      <c r="BN389" s="28"/>
      <c r="BO389" s="28"/>
      <c r="BP389" s="28"/>
      <c r="BQ389" s="28"/>
      <c r="BR389" s="28"/>
      <c r="BS389" s="28"/>
      <c r="BT389" s="28"/>
      <c r="BU389" s="28"/>
      <c r="BV389" s="28"/>
      <c r="BW389" s="28"/>
      <c r="BX389" s="28"/>
      <c r="BY389" s="28"/>
      <c r="BZ389" s="28"/>
      <c r="CA389" s="28"/>
      <c r="CB389" s="28"/>
      <c r="CC389" s="28"/>
      <c r="CD389" s="28"/>
      <c r="CE389" s="28"/>
      <c r="CF389" s="28"/>
      <c r="CG389" s="28"/>
    </row>
    <row r="390" spans="1:85" ht="12.75" x14ac:dyDescent="0.2">
      <c r="A390" s="28"/>
      <c r="B390" s="28"/>
      <c r="C390" s="28"/>
      <c r="D390" s="28"/>
      <c r="E390" s="28"/>
      <c r="F390" s="28"/>
      <c r="G390" s="28"/>
      <c r="H390" s="28"/>
      <c r="I390" s="28"/>
      <c r="J390" s="28"/>
      <c r="K390" s="36"/>
      <c r="L390" s="28"/>
      <c r="M390" s="28"/>
      <c r="N390" s="28"/>
      <c r="O390" s="28"/>
      <c r="P390" s="28"/>
      <c r="Q390" s="36"/>
      <c r="R390" s="36"/>
      <c r="S390" s="36"/>
      <c r="T390" s="36"/>
      <c r="U390" s="36"/>
      <c r="V390" s="36"/>
      <c r="W390" s="36"/>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8"/>
      <c r="BW390" s="28"/>
      <c r="BX390" s="28"/>
      <c r="BY390" s="28"/>
      <c r="BZ390" s="28"/>
      <c r="CA390" s="28"/>
      <c r="CB390" s="28"/>
      <c r="CC390" s="28"/>
      <c r="CD390" s="28"/>
      <c r="CE390" s="28"/>
      <c r="CF390" s="28"/>
      <c r="CG390" s="28"/>
    </row>
    <row r="391" spans="1:85" ht="12.75" x14ac:dyDescent="0.2">
      <c r="A391" s="28"/>
      <c r="B391" s="28"/>
      <c r="C391" s="28"/>
      <c r="D391" s="28"/>
      <c r="E391" s="28"/>
      <c r="F391" s="28"/>
      <c r="G391" s="28"/>
      <c r="H391" s="28"/>
      <c r="I391" s="28"/>
      <c r="J391" s="28"/>
      <c r="K391" s="36"/>
      <c r="L391" s="28"/>
      <c r="M391" s="28"/>
      <c r="N391" s="28"/>
      <c r="O391" s="28"/>
      <c r="P391" s="28"/>
      <c r="Q391" s="36"/>
      <c r="R391" s="36"/>
      <c r="S391" s="36"/>
      <c r="T391" s="36"/>
      <c r="U391" s="36"/>
      <c r="V391" s="36"/>
      <c r="W391" s="36"/>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c r="BF391" s="28"/>
      <c r="BG391" s="28"/>
      <c r="BH391" s="28"/>
      <c r="BI391" s="28"/>
      <c r="BJ391" s="28"/>
      <c r="BK391" s="28"/>
      <c r="BL391" s="28"/>
      <c r="BM391" s="28"/>
      <c r="BN391" s="28"/>
      <c r="BO391" s="28"/>
      <c r="BP391" s="28"/>
      <c r="BQ391" s="28"/>
      <c r="BR391" s="28"/>
      <c r="BS391" s="28"/>
      <c r="BT391" s="28"/>
      <c r="BU391" s="28"/>
      <c r="BV391" s="28"/>
      <c r="BW391" s="28"/>
      <c r="BX391" s="28"/>
      <c r="BY391" s="28"/>
      <c r="BZ391" s="28"/>
      <c r="CA391" s="28"/>
      <c r="CB391" s="28"/>
      <c r="CC391" s="28"/>
      <c r="CD391" s="28"/>
      <c r="CE391" s="28"/>
      <c r="CF391" s="28"/>
      <c r="CG391" s="28"/>
    </row>
    <row r="392" spans="1:85" ht="12.75" x14ac:dyDescent="0.2">
      <c r="A392" s="28"/>
      <c r="B392" s="28"/>
      <c r="C392" s="28"/>
      <c r="D392" s="28"/>
      <c r="E392" s="28"/>
      <c r="F392" s="28"/>
      <c r="G392" s="28"/>
      <c r="H392" s="28"/>
      <c r="I392" s="28"/>
      <c r="J392" s="28"/>
      <c r="K392" s="36"/>
      <c r="L392" s="28"/>
      <c r="M392" s="28"/>
      <c r="N392" s="28"/>
      <c r="O392" s="28"/>
      <c r="P392" s="28"/>
      <c r="Q392" s="36"/>
      <c r="R392" s="36"/>
      <c r="S392" s="36"/>
      <c r="T392" s="36"/>
      <c r="U392" s="36"/>
      <c r="V392" s="36"/>
      <c r="W392" s="36"/>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c r="BW392" s="28"/>
      <c r="BX392" s="28"/>
      <c r="BY392" s="28"/>
      <c r="BZ392" s="28"/>
      <c r="CA392" s="28"/>
      <c r="CB392" s="28"/>
      <c r="CC392" s="28"/>
      <c r="CD392" s="28"/>
      <c r="CE392" s="28"/>
      <c r="CF392" s="28"/>
      <c r="CG392" s="28"/>
    </row>
    <row r="393" spans="1:85" ht="12.75" x14ac:dyDescent="0.2">
      <c r="A393" s="28"/>
      <c r="B393" s="28"/>
      <c r="C393" s="28"/>
      <c r="D393" s="28"/>
      <c r="E393" s="28"/>
      <c r="F393" s="28"/>
      <c r="G393" s="28"/>
      <c r="H393" s="28"/>
      <c r="I393" s="28"/>
      <c r="J393" s="28"/>
      <c r="K393" s="36"/>
      <c r="L393" s="28"/>
      <c r="M393" s="28"/>
      <c r="N393" s="28"/>
      <c r="O393" s="28"/>
      <c r="P393" s="28"/>
      <c r="Q393" s="36"/>
      <c r="R393" s="36"/>
      <c r="S393" s="36"/>
      <c r="T393" s="36"/>
      <c r="U393" s="36"/>
      <c r="V393" s="36"/>
      <c r="W393" s="36"/>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c r="BF393" s="28"/>
      <c r="BG393" s="28"/>
      <c r="BH393" s="28"/>
      <c r="BI393" s="28"/>
      <c r="BJ393" s="28"/>
      <c r="BK393" s="28"/>
      <c r="BL393" s="28"/>
      <c r="BM393" s="28"/>
      <c r="BN393" s="28"/>
      <c r="BO393" s="28"/>
      <c r="BP393" s="28"/>
      <c r="BQ393" s="28"/>
      <c r="BR393" s="28"/>
      <c r="BS393" s="28"/>
      <c r="BT393" s="28"/>
      <c r="BU393" s="28"/>
      <c r="BV393" s="28"/>
      <c r="BW393" s="28"/>
      <c r="BX393" s="28"/>
      <c r="BY393" s="28"/>
      <c r="BZ393" s="28"/>
      <c r="CA393" s="28"/>
      <c r="CB393" s="28"/>
      <c r="CC393" s="28"/>
      <c r="CD393" s="28"/>
      <c r="CE393" s="28"/>
      <c r="CF393" s="28"/>
      <c r="CG393" s="28"/>
    </row>
    <row r="394" spans="1:85" ht="12.75" x14ac:dyDescent="0.2">
      <c r="A394" s="28"/>
      <c r="B394" s="28"/>
      <c r="C394" s="28"/>
      <c r="D394" s="28"/>
      <c r="E394" s="28"/>
      <c r="F394" s="28"/>
      <c r="G394" s="28"/>
      <c r="H394" s="28"/>
      <c r="I394" s="28"/>
      <c r="J394" s="28"/>
      <c r="K394" s="36"/>
      <c r="L394" s="28"/>
      <c r="M394" s="28"/>
      <c r="N394" s="28"/>
      <c r="O394" s="28"/>
      <c r="P394" s="28"/>
      <c r="Q394" s="36"/>
      <c r="R394" s="36"/>
      <c r="S394" s="36"/>
      <c r="T394" s="36"/>
      <c r="U394" s="36"/>
      <c r="V394" s="36"/>
      <c r="W394" s="36"/>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8"/>
      <c r="BW394" s="28"/>
      <c r="BX394" s="28"/>
      <c r="BY394" s="28"/>
      <c r="BZ394" s="28"/>
      <c r="CA394" s="28"/>
      <c r="CB394" s="28"/>
      <c r="CC394" s="28"/>
      <c r="CD394" s="28"/>
      <c r="CE394" s="28"/>
      <c r="CF394" s="28"/>
      <c r="CG394" s="28"/>
    </row>
    <row r="395" spans="1:85" ht="12.75" x14ac:dyDescent="0.2">
      <c r="A395" s="28"/>
      <c r="B395" s="28"/>
      <c r="C395" s="28"/>
      <c r="D395" s="28"/>
      <c r="E395" s="28"/>
      <c r="F395" s="28"/>
      <c r="G395" s="28"/>
      <c r="H395" s="28"/>
      <c r="I395" s="28"/>
      <c r="J395" s="28"/>
      <c r="K395" s="36"/>
      <c r="L395" s="28"/>
      <c r="M395" s="28"/>
      <c r="N395" s="28"/>
      <c r="O395" s="28"/>
      <c r="P395" s="28"/>
      <c r="Q395" s="36"/>
      <c r="R395" s="36"/>
      <c r="S395" s="36"/>
      <c r="T395" s="36"/>
      <c r="U395" s="36"/>
      <c r="V395" s="36"/>
      <c r="W395" s="36"/>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c r="BG395" s="28"/>
      <c r="BH395" s="28"/>
      <c r="BI395" s="28"/>
      <c r="BJ395" s="28"/>
      <c r="BK395" s="28"/>
      <c r="BL395" s="28"/>
      <c r="BM395" s="28"/>
      <c r="BN395" s="28"/>
      <c r="BO395" s="28"/>
      <c r="BP395" s="28"/>
      <c r="BQ395" s="28"/>
      <c r="BR395" s="28"/>
      <c r="BS395" s="28"/>
      <c r="BT395" s="28"/>
      <c r="BU395" s="28"/>
      <c r="BV395" s="28"/>
      <c r="BW395" s="28"/>
      <c r="BX395" s="28"/>
      <c r="BY395" s="28"/>
      <c r="BZ395" s="28"/>
      <c r="CA395" s="28"/>
      <c r="CB395" s="28"/>
      <c r="CC395" s="28"/>
      <c r="CD395" s="28"/>
      <c r="CE395" s="28"/>
      <c r="CF395" s="28"/>
      <c r="CG395" s="28"/>
    </row>
    <row r="396" spans="1:85" ht="12.75" x14ac:dyDescent="0.2">
      <c r="A396" s="28"/>
      <c r="B396" s="28"/>
      <c r="C396" s="28"/>
      <c r="D396" s="28"/>
      <c r="E396" s="28"/>
      <c r="F396" s="28"/>
      <c r="G396" s="28"/>
      <c r="H396" s="28"/>
      <c r="I396" s="28"/>
      <c r="J396" s="28"/>
      <c r="K396" s="36"/>
      <c r="L396" s="28"/>
      <c r="M396" s="28"/>
      <c r="N396" s="28"/>
      <c r="O396" s="28"/>
      <c r="P396" s="28"/>
      <c r="Q396" s="36"/>
      <c r="R396" s="36"/>
      <c r="S396" s="36"/>
      <c r="T396" s="36"/>
      <c r="U396" s="36"/>
      <c r="V396" s="36"/>
      <c r="W396" s="36"/>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8"/>
      <c r="BW396" s="28"/>
      <c r="BX396" s="28"/>
      <c r="BY396" s="28"/>
      <c r="BZ396" s="28"/>
      <c r="CA396" s="28"/>
      <c r="CB396" s="28"/>
      <c r="CC396" s="28"/>
      <c r="CD396" s="28"/>
      <c r="CE396" s="28"/>
      <c r="CF396" s="28"/>
      <c r="CG396" s="28"/>
    </row>
    <row r="397" spans="1:85" ht="12.75" x14ac:dyDescent="0.2">
      <c r="A397" s="28"/>
      <c r="B397" s="28"/>
      <c r="C397" s="28"/>
      <c r="D397" s="28"/>
      <c r="E397" s="28"/>
      <c r="F397" s="28"/>
      <c r="G397" s="28"/>
      <c r="H397" s="28"/>
      <c r="I397" s="28"/>
      <c r="J397" s="28"/>
      <c r="K397" s="36"/>
      <c r="L397" s="28"/>
      <c r="M397" s="28"/>
      <c r="N397" s="28"/>
      <c r="O397" s="28"/>
      <c r="P397" s="28"/>
      <c r="Q397" s="36"/>
      <c r="R397" s="36"/>
      <c r="S397" s="36"/>
      <c r="T397" s="36"/>
      <c r="U397" s="36"/>
      <c r="V397" s="36"/>
      <c r="W397" s="36"/>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c r="BF397" s="28"/>
      <c r="BG397" s="28"/>
      <c r="BH397" s="28"/>
      <c r="BI397" s="28"/>
      <c r="BJ397" s="28"/>
      <c r="BK397" s="28"/>
      <c r="BL397" s="28"/>
      <c r="BM397" s="28"/>
      <c r="BN397" s="28"/>
      <c r="BO397" s="28"/>
      <c r="BP397" s="28"/>
      <c r="BQ397" s="28"/>
      <c r="BR397" s="28"/>
      <c r="BS397" s="28"/>
      <c r="BT397" s="28"/>
      <c r="BU397" s="28"/>
      <c r="BV397" s="28"/>
      <c r="BW397" s="28"/>
      <c r="BX397" s="28"/>
      <c r="BY397" s="28"/>
      <c r="BZ397" s="28"/>
      <c r="CA397" s="28"/>
      <c r="CB397" s="28"/>
      <c r="CC397" s="28"/>
      <c r="CD397" s="28"/>
      <c r="CE397" s="28"/>
      <c r="CF397" s="28"/>
      <c r="CG397" s="28"/>
    </row>
    <row r="398" spans="1:85" ht="12.75" x14ac:dyDescent="0.2">
      <c r="A398" s="28"/>
      <c r="B398" s="28"/>
      <c r="C398" s="28"/>
      <c r="D398" s="28"/>
      <c r="E398" s="28"/>
      <c r="F398" s="28"/>
      <c r="G398" s="28"/>
      <c r="H398" s="28"/>
      <c r="I398" s="28"/>
      <c r="J398" s="28"/>
      <c r="K398" s="36"/>
      <c r="L398" s="28"/>
      <c r="M398" s="28"/>
      <c r="N398" s="28"/>
      <c r="O398" s="28"/>
      <c r="P398" s="28"/>
      <c r="Q398" s="36"/>
      <c r="R398" s="36"/>
      <c r="S398" s="36"/>
      <c r="T398" s="36"/>
      <c r="U398" s="36"/>
      <c r="V398" s="36"/>
      <c r="W398" s="36"/>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8"/>
      <c r="BW398" s="28"/>
      <c r="BX398" s="28"/>
      <c r="BY398" s="28"/>
      <c r="BZ398" s="28"/>
      <c r="CA398" s="28"/>
      <c r="CB398" s="28"/>
      <c r="CC398" s="28"/>
      <c r="CD398" s="28"/>
      <c r="CE398" s="28"/>
      <c r="CF398" s="28"/>
      <c r="CG398" s="28"/>
    </row>
    <row r="399" spans="1:85" ht="12.75" x14ac:dyDescent="0.2">
      <c r="A399" s="28"/>
      <c r="B399" s="28"/>
      <c r="C399" s="28"/>
      <c r="D399" s="28"/>
      <c r="E399" s="28"/>
      <c r="F399" s="28"/>
      <c r="G399" s="28"/>
      <c r="H399" s="28"/>
      <c r="I399" s="28"/>
      <c r="J399" s="28"/>
      <c r="K399" s="36"/>
      <c r="L399" s="28"/>
      <c r="M399" s="28"/>
      <c r="N399" s="28"/>
      <c r="O399" s="28"/>
      <c r="P399" s="28"/>
      <c r="Q399" s="36"/>
      <c r="R399" s="36"/>
      <c r="S399" s="36"/>
      <c r="T399" s="36"/>
      <c r="U399" s="36"/>
      <c r="V399" s="36"/>
      <c r="W399" s="36"/>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c r="BF399" s="28"/>
      <c r="BG399" s="28"/>
      <c r="BH399" s="28"/>
      <c r="BI399" s="28"/>
      <c r="BJ399" s="28"/>
      <c r="BK399" s="28"/>
      <c r="BL399" s="28"/>
      <c r="BM399" s="28"/>
      <c r="BN399" s="28"/>
      <c r="BO399" s="28"/>
      <c r="BP399" s="28"/>
      <c r="BQ399" s="28"/>
      <c r="BR399" s="28"/>
      <c r="BS399" s="28"/>
      <c r="BT399" s="28"/>
      <c r="BU399" s="28"/>
      <c r="BV399" s="28"/>
      <c r="BW399" s="28"/>
      <c r="BX399" s="28"/>
      <c r="BY399" s="28"/>
      <c r="BZ399" s="28"/>
      <c r="CA399" s="28"/>
      <c r="CB399" s="28"/>
      <c r="CC399" s="28"/>
      <c r="CD399" s="28"/>
      <c r="CE399" s="28"/>
      <c r="CF399" s="28"/>
      <c r="CG399" s="28"/>
    </row>
    <row r="400" spans="1:85" ht="12.75" x14ac:dyDescent="0.2">
      <c r="A400" s="28"/>
      <c r="B400" s="28"/>
      <c r="C400" s="28"/>
      <c r="D400" s="28"/>
      <c r="E400" s="28"/>
      <c r="F400" s="28"/>
      <c r="G400" s="28"/>
      <c r="H400" s="28"/>
      <c r="I400" s="28"/>
      <c r="J400" s="28"/>
      <c r="K400" s="36"/>
      <c r="L400" s="28"/>
      <c r="M400" s="28"/>
      <c r="N400" s="28"/>
      <c r="O400" s="28"/>
      <c r="P400" s="28"/>
      <c r="Q400" s="36"/>
      <c r="R400" s="36"/>
      <c r="S400" s="36"/>
      <c r="T400" s="36"/>
      <c r="U400" s="36"/>
      <c r="V400" s="36"/>
      <c r="W400" s="36"/>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8"/>
      <c r="BW400" s="28"/>
      <c r="BX400" s="28"/>
      <c r="BY400" s="28"/>
      <c r="BZ400" s="28"/>
      <c r="CA400" s="28"/>
      <c r="CB400" s="28"/>
      <c r="CC400" s="28"/>
      <c r="CD400" s="28"/>
      <c r="CE400" s="28"/>
      <c r="CF400" s="28"/>
      <c r="CG400" s="28"/>
    </row>
    <row r="401" spans="1:85" ht="12.75" x14ac:dyDescent="0.2">
      <c r="A401" s="28"/>
      <c r="B401" s="28"/>
      <c r="C401" s="28"/>
      <c r="D401" s="28"/>
      <c r="E401" s="28"/>
      <c r="F401" s="28"/>
      <c r="G401" s="28"/>
      <c r="H401" s="28"/>
      <c r="I401" s="28"/>
      <c r="J401" s="28"/>
      <c r="K401" s="36"/>
      <c r="L401" s="28"/>
      <c r="M401" s="28"/>
      <c r="N401" s="28"/>
      <c r="O401" s="28"/>
      <c r="P401" s="28"/>
      <c r="Q401" s="36"/>
      <c r="R401" s="36"/>
      <c r="S401" s="36"/>
      <c r="T401" s="36"/>
      <c r="U401" s="36"/>
      <c r="V401" s="36"/>
      <c r="W401" s="36"/>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c r="BF401" s="28"/>
      <c r="BG401" s="28"/>
      <c r="BH401" s="28"/>
      <c r="BI401" s="28"/>
      <c r="BJ401" s="28"/>
      <c r="BK401" s="28"/>
      <c r="BL401" s="28"/>
      <c r="BM401" s="28"/>
      <c r="BN401" s="28"/>
      <c r="BO401" s="28"/>
      <c r="BP401" s="28"/>
      <c r="BQ401" s="28"/>
      <c r="BR401" s="28"/>
      <c r="BS401" s="28"/>
      <c r="BT401" s="28"/>
      <c r="BU401" s="28"/>
      <c r="BV401" s="28"/>
      <c r="BW401" s="28"/>
      <c r="BX401" s="28"/>
      <c r="BY401" s="28"/>
      <c r="BZ401" s="28"/>
      <c r="CA401" s="28"/>
      <c r="CB401" s="28"/>
      <c r="CC401" s="28"/>
      <c r="CD401" s="28"/>
      <c r="CE401" s="28"/>
      <c r="CF401" s="28"/>
      <c r="CG401" s="28"/>
    </row>
    <row r="402" spans="1:85" ht="12.75" x14ac:dyDescent="0.2">
      <c r="A402" s="28"/>
      <c r="B402" s="28"/>
      <c r="C402" s="28"/>
      <c r="D402" s="28"/>
      <c r="E402" s="28"/>
      <c r="F402" s="28"/>
      <c r="G402" s="28"/>
      <c r="H402" s="28"/>
      <c r="I402" s="28"/>
      <c r="J402" s="28"/>
      <c r="K402" s="36"/>
      <c r="L402" s="28"/>
      <c r="M402" s="28"/>
      <c r="N402" s="28"/>
      <c r="O402" s="28"/>
      <c r="P402" s="28"/>
      <c r="Q402" s="36"/>
      <c r="R402" s="36"/>
      <c r="S402" s="36"/>
      <c r="T402" s="36"/>
      <c r="U402" s="36"/>
      <c r="V402" s="36"/>
      <c r="W402" s="36"/>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8"/>
      <c r="BW402" s="28"/>
      <c r="BX402" s="28"/>
      <c r="BY402" s="28"/>
      <c r="BZ402" s="28"/>
      <c r="CA402" s="28"/>
      <c r="CB402" s="28"/>
      <c r="CC402" s="28"/>
      <c r="CD402" s="28"/>
      <c r="CE402" s="28"/>
      <c r="CF402" s="28"/>
      <c r="CG402" s="28"/>
    </row>
    <row r="403" spans="1:85" ht="12.75" x14ac:dyDescent="0.2">
      <c r="A403" s="28"/>
      <c r="B403" s="28"/>
      <c r="C403" s="28"/>
      <c r="D403" s="28"/>
      <c r="E403" s="28"/>
      <c r="F403" s="28"/>
      <c r="G403" s="28"/>
      <c r="H403" s="28"/>
      <c r="I403" s="28"/>
      <c r="J403" s="28"/>
      <c r="K403" s="36"/>
      <c r="L403" s="28"/>
      <c r="M403" s="28"/>
      <c r="N403" s="28"/>
      <c r="O403" s="28"/>
      <c r="P403" s="28"/>
      <c r="Q403" s="36"/>
      <c r="R403" s="36"/>
      <c r="S403" s="36"/>
      <c r="T403" s="36"/>
      <c r="U403" s="36"/>
      <c r="V403" s="36"/>
      <c r="W403" s="36"/>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c r="BF403" s="28"/>
      <c r="BG403" s="28"/>
      <c r="BH403" s="28"/>
      <c r="BI403" s="28"/>
      <c r="BJ403" s="28"/>
      <c r="BK403" s="28"/>
      <c r="BL403" s="28"/>
      <c r="BM403" s="28"/>
      <c r="BN403" s="28"/>
      <c r="BO403" s="28"/>
      <c r="BP403" s="28"/>
      <c r="BQ403" s="28"/>
      <c r="BR403" s="28"/>
      <c r="BS403" s="28"/>
      <c r="BT403" s="28"/>
      <c r="BU403" s="28"/>
      <c r="BV403" s="28"/>
      <c r="BW403" s="28"/>
      <c r="BX403" s="28"/>
      <c r="BY403" s="28"/>
      <c r="BZ403" s="28"/>
      <c r="CA403" s="28"/>
      <c r="CB403" s="28"/>
      <c r="CC403" s="28"/>
      <c r="CD403" s="28"/>
      <c r="CE403" s="28"/>
      <c r="CF403" s="28"/>
      <c r="CG403" s="28"/>
    </row>
    <row r="404" spans="1:85" ht="12.75" x14ac:dyDescent="0.2">
      <c r="A404" s="28"/>
      <c r="B404" s="28"/>
      <c r="C404" s="28"/>
      <c r="D404" s="28"/>
      <c r="E404" s="28"/>
      <c r="F404" s="28"/>
      <c r="G404" s="28"/>
      <c r="H404" s="28"/>
      <c r="I404" s="28"/>
      <c r="J404" s="28"/>
      <c r="K404" s="36"/>
      <c r="L404" s="28"/>
      <c r="M404" s="28"/>
      <c r="N404" s="28"/>
      <c r="O404" s="28"/>
      <c r="P404" s="28"/>
      <c r="Q404" s="36"/>
      <c r="R404" s="36"/>
      <c r="S404" s="36"/>
      <c r="T404" s="36"/>
      <c r="U404" s="36"/>
      <c r="V404" s="36"/>
      <c r="W404" s="36"/>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8"/>
      <c r="BW404" s="28"/>
      <c r="BX404" s="28"/>
      <c r="BY404" s="28"/>
      <c r="BZ404" s="28"/>
      <c r="CA404" s="28"/>
      <c r="CB404" s="28"/>
      <c r="CC404" s="28"/>
      <c r="CD404" s="28"/>
      <c r="CE404" s="28"/>
      <c r="CF404" s="28"/>
      <c r="CG404" s="28"/>
    </row>
    <row r="405" spans="1:85" ht="12.75" x14ac:dyDescent="0.2">
      <c r="A405" s="28"/>
      <c r="B405" s="28"/>
      <c r="C405" s="28"/>
      <c r="D405" s="28"/>
      <c r="E405" s="28"/>
      <c r="F405" s="28"/>
      <c r="G405" s="28"/>
      <c r="H405" s="28"/>
      <c r="I405" s="28"/>
      <c r="J405" s="28"/>
      <c r="K405" s="36"/>
      <c r="L405" s="28"/>
      <c r="M405" s="28"/>
      <c r="N405" s="28"/>
      <c r="O405" s="28"/>
      <c r="P405" s="28"/>
      <c r="Q405" s="36"/>
      <c r="R405" s="36"/>
      <c r="S405" s="36"/>
      <c r="T405" s="36"/>
      <c r="U405" s="36"/>
      <c r="V405" s="36"/>
      <c r="W405" s="36"/>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c r="BF405" s="28"/>
      <c r="BG405" s="28"/>
      <c r="BH405" s="28"/>
      <c r="BI405" s="28"/>
      <c r="BJ405" s="28"/>
      <c r="BK405" s="28"/>
      <c r="BL405" s="28"/>
      <c r="BM405" s="28"/>
      <c r="BN405" s="28"/>
      <c r="BO405" s="28"/>
      <c r="BP405" s="28"/>
      <c r="BQ405" s="28"/>
      <c r="BR405" s="28"/>
      <c r="BS405" s="28"/>
      <c r="BT405" s="28"/>
      <c r="BU405" s="28"/>
      <c r="BV405" s="28"/>
      <c r="BW405" s="28"/>
      <c r="BX405" s="28"/>
      <c r="BY405" s="28"/>
      <c r="BZ405" s="28"/>
      <c r="CA405" s="28"/>
      <c r="CB405" s="28"/>
      <c r="CC405" s="28"/>
      <c r="CD405" s="28"/>
      <c r="CE405" s="28"/>
      <c r="CF405" s="28"/>
      <c r="CG405" s="28"/>
    </row>
    <row r="406" spans="1:85" ht="12.75" x14ac:dyDescent="0.2">
      <c r="A406" s="28"/>
      <c r="B406" s="28"/>
      <c r="C406" s="28"/>
      <c r="D406" s="28"/>
      <c r="E406" s="28"/>
      <c r="F406" s="28"/>
      <c r="G406" s="28"/>
      <c r="H406" s="28"/>
      <c r="I406" s="28"/>
      <c r="J406" s="28"/>
      <c r="K406" s="36"/>
      <c r="L406" s="28"/>
      <c r="M406" s="28"/>
      <c r="N406" s="28"/>
      <c r="O406" s="28"/>
      <c r="P406" s="28"/>
      <c r="Q406" s="36"/>
      <c r="R406" s="36"/>
      <c r="S406" s="36"/>
      <c r="T406" s="36"/>
      <c r="U406" s="36"/>
      <c r="V406" s="36"/>
      <c r="W406" s="36"/>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8"/>
      <c r="BW406" s="28"/>
      <c r="BX406" s="28"/>
      <c r="BY406" s="28"/>
      <c r="BZ406" s="28"/>
      <c r="CA406" s="28"/>
      <c r="CB406" s="28"/>
      <c r="CC406" s="28"/>
      <c r="CD406" s="28"/>
      <c r="CE406" s="28"/>
      <c r="CF406" s="28"/>
      <c r="CG406" s="28"/>
    </row>
    <row r="407" spans="1:85" ht="12.75" x14ac:dyDescent="0.2">
      <c r="A407" s="28"/>
      <c r="B407" s="28"/>
      <c r="C407" s="28"/>
      <c r="D407" s="28"/>
      <c r="E407" s="28"/>
      <c r="F407" s="28"/>
      <c r="G407" s="28"/>
      <c r="H407" s="28"/>
      <c r="I407" s="28"/>
      <c r="J407" s="28"/>
      <c r="K407" s="36"/>
      <c r="L407" s="28"/>
      <c r="M407" s="28"/>
      <c r="N407" s="28"/>
      <c r="O407" s="28"/>
      <c r="P407" s="28"/>
      <c r="Q407" s="36"/>
      <c r="R407" s="36"/>
      <c r="S407" s="36"/>
      <c r="T407" s="36"/>
      <c r="U407" s="36"/>
      <c r="V407" s="36"/>
      <c r="W407" s="36"/>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c r="BF407" s="28"/>
      <c r="BG407" s="28"/>
      <c r="BH407" s="28"/>
      <c r="BI407" s="28"/>
      <c r="BJ407" s="28"/>
      <c r="BK407" s="28"/>
      <c r="BL407" s="28"/>
      <c r="BM407" s="28"/>
      <c r="BN407" s="28"/>
      <c r="BO407" s="28"/>
      <c r="BP407" s="28"/>
      <c r="BQ407" s="28"/>
      <c r="BR407" s="28"/>
      <c r="BS407" s="28"/>
      <c r="BT407" s="28"/>
      <c r="BU407" s="28"/>
      <c r="BV407" s="28"/>
      <c r="BW407" s="28"/>
      <c r="BX407" s="28"/>
      <c r="BY407" s="28"/>
      <c r="BZ407" s="28"/>
      <c r="CA407" s="28"/>
      <c r="CB407" s="28"/>
      <c r="CC407" s="28"/>
      <c r="CD407" s="28"/>
      <c r="CE407" s="28"/>
      <c r="CF407" s="28"/>
      <c r="CG407" s="28"/>
    </row>
    <row r="408" spans="1:85" ht="12.75" x14ac:dyDescent="0.2">
      <c r="A408" s="28"/>
      <c r="B408" s="28"/>
      <c r="C408" s="28"/>
      <c r="D408" s="28"/>
      <c r="E408" s="28"/>
      <c r="F408" s="28"/>
      <c r="G408" s="28"/>
      <c r="H408" s="28"/>
      <c r="I408" s="28"/>
      <c r="J408" s="28"/>
      <c r="K408" s="36"/>
      <c r="L408" s="28"/>
      <c r="M408" s="28"/>
      <c r="N408" s="28"/>
      <c r="O408" s="28"/>
      <c r="P408" s="28"/>
      <c r="Q408" s="36"/>
      <c r="R408" s="36"/>
      <c r="S408" s="36"/>
      <c r="T408" s="36"/>
      <c r="U408" s="36"/>
      <c r="V408" s="36"/>
      <c r="W408" s="36"/>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8"/>
      <c r="BW408" s="28"/>
      <c r="BX408" s="28"/>
      <c r="BY408" s="28"/>
      <c r="BZ408" s="28"/>
      <c r="CA408" s="28"/>
      <c r="CB408" s="28"/>
      <c r="CC408" s="28"/>
      <c r="CD408" s="28"/>
      <c r="CE408" s="28"/>
      <c r="CF408" s="28"/>
      <c r="CG408" s="28"/>
    </row>
    <row r="409" spans="1:85" ht="12.75" x14ac:dyDescent="0.2">
      <c r="A409" s="28"/>
      <c r="B409" s="28"/>
      <c r="C409" s="28"/>
      <c r="D409" s="28"/>
      <c r="E409" s="28"/>
      <c r="F409" s="28"/>
      <c r="G409" s="28"/>
      <c r="H409" s="28"/>
      <c r="I409" s="28"/>
      <c r="J409" s="28"/>
      <c r="K409" s="36"/>
      <c r="L409" s="28"/>
      <c r="M409" s="28"/>
      <c r="N409" s="28"/>
      <c r="O409" s="28"/>
      <c r="P409" s="28"/>
      <c r="Q409" s="36"/>
      <c r="R409" s="36"/>
      <c r="S409" s="36"/>
      <c r="T409" s="36"/>
      <c r="U409" s="36"/>
      <c r="V409" s="36"/>
      <c r="W409" s="36"/>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c r="BF409" s="28"/>
      <c r="BG409" s="28"/>
      <c r="BH409" s="28"/>
      <c r="BI409" s="28"/>
      <c r="BJ409" s="28"/>
      <c r="BK409" s="28"/>
      <c r="BL409" s="28"/>
      <c r="BM409" s="28"/>
      <c r="BN409" s="28"/>
      <c r="BO409" s="28"/>
      <c r="BP409" s="28"/>
      <c r="BQ409" s="28"/>
      <c r="BR409" s="28"/>
      <c r="BS409" s="28"/>
      <c r="BT409" s="28"/>
      <c r="BU409" s="28"/>
      <c r="BV409" s="28"/>
      <c r="BW409" s="28"/>
      <c r="BX409" s="28"/>
      <c r="BY409" s="28"/>
      <c r="BZ409" s="28"/>
      <c r="CA409" s="28"/>
      <c r="CB409" s="28"/>
      <c r="CC409" s="28"/>
      <c r="CD409" s="28"/>
      <c r="CE409" s="28"/>
      <c r="CF409" s="28"/>
      <c r="CG409" s="28"/>
    </row>
    <row r="410" spans="1:85" ht="12.75" x14ac:dyDescent="0.2">
      <c r="A410" s="28"/>
      <c r="B410" s="28"/>
      <c r="C410" s="28"/>
      <c r="D410" s="28"/>
      <c r="E410" s="28"/>
      <c r="F410" s="28"/>
      <c r="G410" s="28"/>
      <c r="H410" s="28"/>
      <c r="I410" s="28"/>
      <c r="J410" s="28"/>
      <c r="K410" s="36"/>
      <c r="L410" s="28"/>
      <c r="M410" s="28"/>
      <c r="N410" s="28"/>
      <c r="O410" s="28"/>
      <c r="P410" s="28"/>
      <c r="Q410" s="36"/>
      <c r="R410" s="36"/>
      <c r="S410" s="36"/>
      <c r="T410" s="36"/>
      <c r="U410" s="36"/>
      <c r="V410" s="36"/>
      <c r="W410" s="36"/>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8"/>
      <c r="BW410" s="28"/>
      <c r="BX410" s="28"/>
      <c r="BY410" s="28"/>
      <c r="BZ410" s="28"/>
      <c r="CA410" s="28"/>
      <c r="CB410" s="28"/>
      <c r="CC410" s="28"/>
      <c r="CD410" s="28"/>
      <c r="CE410" s="28"/>
      <c r="CF410" s="28"/>
      <c r="CG410" s="28"/>
    </row>
    <row r="411" spans="1:85" ht="12.75" x14ac:dyDescent="0.2">
      <c r="A411" s="28"/>
      <c r="B411" s="28"/>
      <c r="C411" s="28"/>
      <c r="D411" s="28"/>
      <c r="E411" s="28"/>
      <c r="F411" s="28"/>
      <c r="G411" s="28"/>
      <c r="H411" s="28"/>
      <c r="I411" s="28"/>
      <c r="J411" s="28"/>
      <c r="K411" s="36"/>
      <c r="L411" s="28"/>
      <c r="M411" s="28"/>
      <c r="N411" s="28"/>
      <c r="O411" s="28"/>
      <c r="P411" s="28"/>
      <c r="Q411" s="36"/>
      <c r="R411" s="36"/>
      <c r="S411" s="36"/>
      <c r="T411" s="36"/>
      <c r="U411" s="36"/>
      <c r="V411" s="36"/>
      <c r="W411" s="36"/>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c r="BF411" s="28"/>
      <c r="BG411" s="28"/>
      <c r="BH411" s="28"/>
      <c r="BI411" s="28"/>
      <c r="BJ411" s="28"/>
      <c r="BK411" s="28"/>
      <c r="BL411" s="28"/>
      <c r="BM411" s="28"/>
      <c r="BN411" s="28"/>
      <c r="BO411" s="28"/>
      <c r="BP411" s="28"/>
      <c r="BQ411" s="28"/>
      <c r="BR411" s="28"/>
      <c r="BS411" s="28"/>
      <c r="BT411" s="28"/>
      <c r="BU411" s="28"/>
      <c r="BV411" s="28"/>
      <c r="BW411" s="28"/>
      <c r="BX411" s="28"/>
      <c r="BY411" s="28"/>
      <c r="BZ411" s="28"/>
      <c r="CA411" s="28"/>
      <c r="CB411" s="28"/>
      <c r="CC411" s="28"/>
      <c r="CD411" s="28"/>
      <c r="CE411" s="28"/>
      <c r="CF411" s="28"/>
      <c r="CG411" s="28"/>
    </row>
    <row r="412" spans="1:85" ht="12.75" x14ac:dyDescent="0.2">
      <c r="A412" s="28"/>
      <c r="B412" s="28"/>
      <c r="C412" s="28"/>
      <c r="D412" s="28"/>
      <c r="E412" s="28"/>
      <c r="F412" s="28"/>
      <c r="G412" s="28"/>
      <c r="H412" s="28"/>
      <c r="I412" s="28"/>
      <c r="J412" s="28"/>
      <c r="K412" s="36"/>
      <c r="L412" s="28"/>
      <c r="M412" s="28"/>
      <c r="N412" s="28"/>
      <c r="O412" s="28"/>
      <c r="P412" s="28"/>
      <c r="Q412" s="36"/>
      <c r="R412" s="36"/>
      <c r="S412" s="36"/>
      <c r="T412" s="36"/>
      <c r="U412" s="36"/>
      <c r="V412" s="36"/>
      <c r="W412" s="36"/>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8"/>
      <c r="BW412" s="28"/>
      <c r="BX412" s="28"/>
      <c r="BY412" s="28"/>
      <c r="BZ412" s="28"/>
      <c r="CA412" s="28"/>
      <c r="CB412" s="28"/>
      <c r="CC412" s="28"/>
      <c r="CD412" s="28"/>
      <c r="CE412" s="28"/>
      <c r="CF412" s="28"/>
      <c r="CG412" s="28"/>
    </row>
    <row r="413" spans="1:85" ht="12.75" x14ac:dyDescent="0.2">
      <c r="A413" s="28"/>
      <c r="B413" s="28"/>
      <c r="C413" s="28"/>
      <c r="D413" s="28"/>
      <c r="E413" s="28"/>
      <c r="F413" s="28"/>
      <c r="G413" s="28"/>
      <c r="H413" s="28"/>
      <c r="I413" s="28"/>
      <c r="J413" s="28"/>
      <c r="K413" s="36"/>
      <c r="L413" s="28"/>
      <c r="M413" s="28"/>
      <c r="N413" s="28"/>
      <c r="O413" s="28"/>
      <c r="P413" s="28"/>
      <c r="Q413" s="36"/>
      <c r="R413" s="36"/>
      <c r="S413" s="36"/>
      <c r="T413" s="36"/>
      <c r="U413" s="36"/>
      <c r="V413" s="36"/>
      <c r="W413" s="36"/>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c r="BF413" s="28"/>
      <c r="BG413" s="28"/>
      <c r="BH413" s="28"/>
      <c r="BI413" s="28"/>
      <c r="BJ413" s="28"/>
      <c r="BK413" s="28"/>
      <c r="BL413" s="28"/>
      <c r="BM413" s="28"/>
      <c r="BN413" s="28"/>
      <c r="BO413" s="28"/>
      <c r="BP413" s="28"/>
      <c r="BQ413" s="28"/>
      <c r="BR413" s="28"/>
      <c r="BS413" s="28"/>
      <c r="BT413" s="28"/>
      <c r="BU413" s="28"/>
      <c r="BV413" s="28"/>
      <c r="BW413" s="28"/>
      <c r="BX413" s="28"/>
      <c r="BY413" s="28"/>
      <c r="BZ413" s="28"/>
      <c r="CA413" s="28"/>
      <c r="CB413" s="28"/>
      <c r="CC413" s="28"/>
      <c r="CD413" s="28"/>
      <c r="CE413" s="28"/>
      <c r="CF413" s="28"/>
      <c r="CG413" s="28"/>
    </row>
    <row r="414" spans="1:85" ht="12.75" x14ac:dyDescent="0.2">
      <c r="A414" s="28"/>
      <c r="B414" s="28"/>
      <c r="C414" s="28"/>
      <c r="D414" s="28"/>
      <c r="E414" s="28"/>
      <c r="F414" s="28"/>
      <c r="G414" s="28"/>
      <c r="H414" s="28"/>
      <c r="I414" s="28"/>
      <c r="J414" s="28"/>
      <c r="K414" s="36"/>
      <c r="L414" s="28"/>
      <c r="M414" s="28"/>
      <c r="N414" s="28"/>
      <c r="O414" s="28"/>
      <c r="P414" s="28"/>
      <c r="Q414" s="36"/>
      <c r="R414" s="36"/>
      <c r="S414" s="36"/>
      <c r="T414" s="36"/>
      <c r="U414" s="36"/>
      <c r="V414" s="36"/>
      <c r="W414" s="36"/>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8"/>
      <c r="BW414" s="28"/>
      <c r="BX414" s="28"/>
      <c r="BY414" s="28"/>
      <c r="BZ414" s="28"/>
      <c r="CA414" s="28"/>
      <c r="CB414" s="28"/>
      <c r="CC414" s="28"/>
      <c r="CD414" s="28"/>
      <c r="CE414" s="28"/>
      <c r="CF414" s="28"/>
      <c r="CG414" s="28"/>
    </row>
    <row r="415" spans="1:85" ht="12.75" x14ac:dyDescent="0.2">
      <c r="A415" s="28"/>
      <c r="B415" s="28"/>
      <c r="C415" s="28"/>
      <c r="D415" s="28"/>
      <c r="E415" s="28"/>
      <c r="F415" s="28"/>
      <c r="G415" s="28"/>
      <c r="H415" s="28"/>
      <c r="I415" s="28"/>
      <c r="J415" s="28"/>
      <c r="K415" s="36"/>
      <c r="L415" s="28"/>
      <c r="M415" s="28"/>
      <c r="N415" s="28"/>
      <c r="O415" s="28"/>
      <c r="P415" s="28"/>
      <c r="Q415" s="36"/>
      <c r="R415" s="36"/>
      <c r="S415" s="36"/>
      <c r="T415" s="36"/>
      <c r="U415" s="36"/>
      <c r="V415" s="36"/>
      <c r="W415" s="36"/>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c r="BF415" s="28"/>
      <c r="BG415" s="28"/>
      <c r="BH415" s="28"/>
      <c r="BI415" s="28"/>
      <c r="BJ415" s="28"/>
      <c r="BK415" s="28"/>
      <c r="BL415" s="28"/>
      <c r="BM415" s="28"/>
      <c r="BN415" s="28"/>
      <c r="BO415" s="28"/>
      <c r="BP415" s="28"/>
      <c r="BQ415" s="28"/>
      <c r="BR415" s="28"/>
      <c r="BS415" s="28"/>
      <c r="BT415" s="28"/>
      <c r="BU415" s="28"/>
      <c r="BV415" s="28"/>
      <c r="BW415" s="28"/>
      <c r="BX415" s="28"/>
      <c r="BY415" s="28"/>
      <c r="BZ415" s="28"/>
      <c r="CA415" s="28"/>
      <c r="CB415" s="28"/>
      <c r="CC415" s="28"/>
      <c r="CD415" s="28"/>
      <c r="CE415" s="28"/>
      <c r="CF415" s="28"/>
      <c r="CG415" s="28"/>
    </row>
    <row r="416" spans="1:85" ht="12.75" x14ac:dyDescent="0.2">
      <c r="A416" s="28"/>
      <c r="B416" s="28"/>
      <c r="C416" s="28"/>
      <c r="D416" s="28"/>
      <c r="E416" s="28"/>
      <c r="F416" s="28"/>
      <c r="G416" s="28"/>
      <c r="H416" s="28"/>
      <c r="I416" s="28"/>
      <c r="J416" s="28"/>
      <c r="K416" s="36"/>
      <c r="L416" s="28"/>
      <c r="M416" s="28"/>
      <c r="N416" s="28"/>
      <c r="O416" s="28"/>
      <c r="P416" s="28"/>
      <c r="Q416" s="36"/>
      <c r="R416" s="36"/>
      <c r="S416" s="36"/>
      <c r="T416" s="36"/>
      <c r="U416" s="36"/>
      <c r="V416" s="36"/>
      <c r="W416" s="36"/>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8"/>
      <c r="BW416" s="28"/>
      <c r="BX416" s="28"/>
      <c r="BY416" s="28"/>
      <c r="BZ416" s="28"/>
      <c r="CA416" s="28"/>
      <c r="CB416" s="28"/>
      <c r="CC416" s="28"/>
      <c r="CD416" s="28"/>
      <c r="CE416" s="28"/>
      <c r="CF416" s="28"/>
      <c r="CG416" s="28"/>
    </row>
    <row r="417" spans="1:85" ht="12.75" x14ac:dyDescent="0.2">
      <c r="A417" s="28"/>
      <c r="B417" s="28"/>
      <c r="C417" s="28"/>
      <c r="D417" s="28"/>
      <c r="E417" s="28"/>
      <c r="F417" s="28"/>
      <c r="G417" s="28"/>
      <c r="H417" s="28"/>
      <c r="I417" s="28"/>
      <c r="J417" s="28"/>
      <c r="K417" s="36"/>
      <c r="L417" s="28"/>
      <c r="M417" s="28"/>
      <c r="N417" s="28"/>
      <c r="O417" s="28"/>
      <c r="P417" s="28"/>
      <c r="Q417" s="36"/>
      <c r="R417" s="36"/>
      <c r="S417" s="36"/>
      <c r="T417" s="36"/>
      <c r="U417" s="36"/>
      <c r="V417" s="36"/>
      <c r="W417" s="36"/>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c r="BF417" s="28"/>
      <c r="BG417" s="28"/>
      <c r="BH417" s="28"/>
      <c r="BI417" s="28"/>
      <c r="BJ417" s="28"/>
      <c r="BK417" s="28"/>
      <c r="BL417" s="28"/>
      <c r="BM417" s="28"/>
      <c r="BN417" s="28"/>
      <c r="BO417" s="28"/>
      <c r="BP417" s="28"/>
      <c r="BQ417" s="28"/>
      <c r="BR417" s="28"/>
      <c r="BS417" s="28"/>
      <c r="BT417" s="28"/>
      <c r="BU417" s="28"/>
      <c r="BV417" s="28"/>
      <c r="BW417" s="28"/>
      <c r="BX417" s="28"/>
      <c r="BY417" s="28"/>
      <c r="BZ417" s="28"/>
      <c r="CA417" s="28"/>
      <c r="CB417" s="28"/>
      <c r="CC417" s="28"/>
      <c r="CD417" s="28"/>
      <c r="CE417" s="28"/>
      <c r="CF417" s="28"/>
      <c r="CG417" s="28"/>
    </row>
    <row r="418" spans="1:85" ht="12.75" x14ac:dyDescent="0.2">
      <c r="A418" s="28"/>
      <c r="B418" s="28"/>
      <c r="C418" s="28"/>
      <c r="D418" s="28"/>
      <c r="E418" s="28"/>
      <c r="F418" s="28"/>
      <c r="G418" s="28"/>
      <c r="H418" s="28"/>
      <c r="I418" s="28"/>
      <c r="J418" s="28"/>
      <c r="K418" s="36"/>
      <c r="L418" s="28"/>
      <c r="M418" s="28"/>
      <c r="N418" s="28"/>
      <c r="O418" s="28"/>
      <c r="P418" s="28"/>
      <c r="Q418" s="36"/>
      <c r="R418" s="36"/>
      <c r="S418" s="36"/>
      <c r="T418" s="36"/>
      <c r="U418" s="36"/>
      <c r="V418" s="36"/>
      <c r="W418" s="36"/>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8"/>
      <c r="BW418" s="28"/>
      <c r="BX418" s="28"/>
      <c r="BY418" s="28"/>
      <c r="BZ418" s="28"/>
      <c r="CA418" s="28"/>
      <c r="CB418" s="28"/>
      <c r="CC418" s="28"/>
      <c r="CD418" s="28"/>
      <c r="CE418" s="28"/>
      <c r="CF418" s="28"/>
      <c r="CG418" s="28"/>
    </row>
    <row r="419" spans="1:85" ht="12.75" x14ac:dyDescent="0.2">
      <c r="A419" s="28"/>
      <c r="B419" s="28"/>
      <c r="C419" s="28"/>
      <c r="D419" s="28"/>
      <c r="E419" s="28"/>
      <c r="F419" s="28"/>
      <c r="G419" s="28"/>
      <c r="H419" s="28"/>
      <c r="I419" s="28"/>
      <c r="J419" s="28"/>
      <c r="K419" s="36"/>
      <c r="L419" s="28"/>
      <c r="M419" s="28"/>
      <c r="N419" s="28"/>
      <c r="O419" s="28"/>
      <c r="P419" s="28"/>
      <c r="Q419" s="36"/>
      <c r="R419" s="36"/>
      <c r="S419" s="36"/>
      <c r="T419" s="36"/>
      <c r="U419" s="36"/>
      <c r="V419" s="36"/>
      <c r="W419" s="36"/>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c r="BF419" s="28"/>
      <c r="BG419" s="28"/>
      <c r="BH419" s="28"/>
      <c r="BI419" s="28"/>
      <c r="BJ419" s="28"/>
      <c r="BK419" s="28"/>
      <c r="BL419" s="28"/>
      <c r="BM419" s="28"/>
      <c r="BN419" s="28"/>
      <c r="BO419" s="28"/>
      <c r="BP419" s="28"/>
      <c r="BQ419" s="28"/>
      <c r="BR419" s="28"/>
      <c r="BS419" s="28"/>
      <c r="BT419" s="28"/>
      <c r="BU419" s="28"/>
      <c r="BV419" s="28"/>
      <c r="BW419" s="28"/>
      <c r="BX419" s="28"/>
      <c r="BY419" s="28"/>
      <c r="BZ419" s="28"/>
      <c r="CA419" s="28"/>
      <c r="CB419" s="28"/>
      <c r="CC419" s="28"/>
      <c r="CD419" s="28"/>
      <c r="CE419" s="28"/>
      <c r="CF419" s="28"/>
      <c r="CG419" s="28"/>
    </row>
    <row r="420" spans="1:85" ht="12.75" x14ac:dyDescent="0.2">
      <c r="A420" s="28"/>
      <c r="B420" s="28"/>
      <c r="C420" s="28"/>
      <c r="D420" s="28"/>
      <c r="E420" s="28"/>
      <c r="F420" s="28"/>
      <c r="G420" s="28"/>
      <c r="H420" s="28"/>
      <c r="I420" s="28"/>
      <c r="J420" s="28"/>
      <c r="K420" s="36"/>
      <c r="L420" s="28"/>
      <c r="M420" s="28"/>
      <c r="N420" s="28"/>
      <c r="O420" s="28"/>
      <c r="P420" s="28"/>
      <c r="Q420" s="36"/>
      <c r="R420" s="36"/>
      <c r="S420" s="36"/>
      <c r="T420" s="36"/>
      <c r="U420" s="36"/>
      <c r="V420" s="36"/>
      <c r="W420" s="36"/>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8"/>
      <c r="BW420" s="28"/>
      <c r="BX420" s="28"/>
      <c r="BY420" s="28"/>
      <c r="BZ420" s="28"/>
      <c r="CA420" s="28"/>
      <c r="CB420" s="28"/>
      <c r="CC420" s="28"/>
      <c r="CD420" s="28"/>
      <c r="CE420" s="28"/>
      <c r="CF420" s="28"/>
      <c r="CG420" s="28"/>
    </row>
    <row r="421" spans="1:85" ht="12.75" x14ac:dyDescent="0.2">
      <c r="A421" s="28"/>
      <c r="B421" s="28"/>
      <c r="C421" s="28"/>
      <c r="D421" s="28"/>
      <c r="E421" s="28"/>
      <c r="F421" s="28"/>
      <c r="G421" s="28"/>
      <c r="H421" s="28"/>
      <c r="I421" s="28"/>
      <c r="J421" s="28"/>
      <c r="K421" s="36"/>
      <c r="L421" s="28"/>
      <c r="M421" s="28"/>
      <c r="N421" s="28"/>
      <c r="O421" s="28"/>
      <c r="P421" s="28"/>
      <c r="Q421" s="36"/>
      <c r="R421" s="36"/>
      <c r="S421" s="36"/>
      <c r="T421" s="36"/>
      <c r="U421" s="36"/>
      <c r="V421" s="36"/>
      <c r="W421" s="36"/>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c r="BF421" s="28"/>
      <c r="BG421" s="28"/>
      <c r="BH421" s="28"/>
      <c r="BI421" s="28"/>
      <c r="BJ421" s="28"/>
      <c r="BK421" s="28"/>
      <c r="BL421" s="28"/>
      <c r="BM421" s="28"/>
      <c r="BN421" s="28"/>
      <c r="BO421" s="28"/>
      <c r="BP421" s="28"/>
      <c r="BQ421" s="28"/>
      <c r="BR421" s="28"/>
      <c r="BS421" s="28"/>
      <c r="BT421" s="28"/>
      <c r="BU421" s="28"/>
      <c r="BV421" s="28"/>
      <c r="BW421" s="28"/>
      <c r="BX421" s="28"/>
      <c r="BY421" s="28"/>
      <c r="BZ421" s="28"/>
      <c r="CA421" s="28"/>
      <c r="CB421" s="28"/>
      <c r="CC421" s="28"/>
      <c r="CD421" s="28"/>
      <c r="CE421" s="28"/>
      <c r="CF421" s="28"/>
      <c r="CG421" s="28"/>
    </row>
    <row r="422" spans="1:85" ht="12.75" x14ac:dyDescent="0.2">
      <c r="A422" s="28"/>
      <c r="B422" s="28"/>
      <c r="C422" s="28"/>
      <c r="D422" s="28"/>
      <c r="E422" s="28"/>
      <c r="F422" s="28"/>
      <c r="G422" s="28"/>
      <c r="H422" s="28"/>
      <c r="I422" s="28"/>
      <c r="J422" s="28"/>
      <c r="K422" s="36"/>
      <c r="L422" s="28"/>
      <c r="M422" s="28"/>
      <c r="N422" s="28"/>
      <c r="O422" s="28"/>
      <c r="P422" s="28"/>
      <c r="Q422" s="36"/>
      <c r="R422" s="36"/>
      <c r="S422" s="36"/>
      <c r="T422" s="36"/>
      <c r="U422" s="36"/>
      <c r="V422" s="36"/>
      <c r="W422" s="36"/>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8"/>
      <c r="BW422" s="28"/>
      <c r="BX422" s="28"/>
      <c r="BY422" s="28"/>
      <c r="BZ422" s="28"/>
      <c r="CA422" s="28"/>
      <c r="CB422" s="28"/>
      <c r="CC422" s="28"/>
      <c r="CD422" s="28"/>
      <c r="CE422" s="28"/>
      <c r="CF422" s="28"/>
      <c r="CG422" s="28"/>
    </row>
    <row r="423" spans="1:85" ht="12.75" x14ac:dyDescent="0.2">
      <c r="A423" s="28"/>
      <c r="B423" s="28"/>
      <c r="C423" s="28"/>
      <c r="D423" s="28"/>
      <c r="E423" s="28"/>
      <c r="F423" s="28"/>
      <c r="G423" s="28"/>
      <c r="H423" s="28"/>
      <c r="I423" s="28"/>
      <c r="J423" s="28"/>
      <c r="K423" s="36"/>
      <c r="L423" s="28"/>
      <c r="M423" s="28"/>
      <c r="N423" s="28"/>
      <c r="O423" s="28"/>
      <c r="P423" s="28"/>
      <c r="Q423" s="36"/>
      <c r="R423" s="36"/>
      <c r="S423" s="36"/>
      <c r="T423" s="36"/>
      <c r="U423" s="36"/>
      <c r="V423" s="36"/>
      <c r="W423" s="36"/>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c r="BF423" s="28"/>
      <c r="BG423" s="28"/>
      <c r="BH423" s="28"/>
      <c r="BI423" s="28"/>
      <c r="BJ423" s="28"/>
      <c r="BK423" s="28"/>
      <c r="BL423" s="28"/>
      <c r="BM423" s="28"/>
      <c r="BN423" s="28"/>
      <c r="BO423" s="28"/>
      <c r="BP423" s="28"/>
      <c r="BQ423" s="28"/>
      <c r="BR423" s="28"/>
      <c r="BS423" s="28"/>
      <c r="BT423" s="28"/>
      <c r="BU423" s="28"/>
      <c r="BV423" s="28"/>
      <c r="BW423" s="28"/>
      <c r="BX423" s="28"/>
      <c r="BY423" s="28"/>
      <c r="BZ423" s="28"/>
      <c r="CA423" s="28"/>
      <c r="CB423" s="28"/>
      <c r="CC423" s="28"/>
      <c r="CD423" s="28"/>
      <c r="CE423" s="28"/>
      <c r="CF423" s="28"/>
      <c r="CG423" s="28"/>
    </row>
    <row r="424" spans="1:85" ht="12.75" x14ac:dyDescent="0.2">
      <c r="A424" s="28"/>
      <c r="B424" s="28"/>
      <c r="C424" s="28"/>
      <c r="D424" s="28"/>
      <c r="E424" s="28"/>
      <c r="F424" s="28"/>
      <c r="G424" s="28"/>
      <c r="H424" s="28"/>
      <c r="I424" s="28"/>
      <c r="J424" s="28"/>
      <c r="K424" s="36"/>
      <c r="L424" s="28"/>
      <c r="M424" s="28"/>
      <c r="N424" s="28"/>
      <c r="O424" s="28"/>
      <c r="P424" s="28"/>
      <c r="Q424" s="36"/>
      <c r="R424" s="36"/>
      <c r="S424" s="36"/>
      <c r="T424" s="36"/>
      <c r="U424" s="36"/>
      <c r="V424" s="36"/>
      <c r="W424" s="36"/>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8"/>
      <c r="BW424" s="28"/>
      <c r="BX424" s="28"/>
      <c r="BY424" s="28"/>
      <c r="BZ424" s="28"/>
      <c r="CA424" s="28"/>
      <c r="CB424" s="28"/>
      <c r="CC424" s="28"/>
      <c r="CD424" s="28"/>
      <c r="CE424" s="28"/>
      <c r="CF424" s="28"/>
      <c r="CG424" s="28"/>
    </row>
    <row r="425" spans="1:85" ht="12.75" x14ac:dyDescent="0.2">
      <c r="A425" s="28"/>
      <c r="B425" s="28"/>
      <c r="C425" s="28"/>
      <c r="D425" s="28"/>
      <c r="E425" s="28"/>
      <c r="F425" s="28"/>
      <c r="G425" s="28"/>
      <c r="H425" s="28"/>
      <c r="I425" s="28"/>
      <c r="J425" s="28"/>
      <c r="K425" s="36"/>
      <c r="L425" s="28"/>
      <c r="M425" s="28"/>
      <c r="N425" s="28"/>
      <c r="O425" s="28"/>
      <c r="P425" s="28"/>
      <c r="Q425" s="36"/>
      <c r="R425" s="36"/>
      <c r="S425" s="36"/>
      <c r="T425" s="36"/>
      <c r="U425" s="36"/>
      <c r="V425" s="36"/>
      <c r="W425" s="36"/>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c r="BF425" s="28"/>
      <c r="BG425" s="28"/>
      <c r="BH425" s="28"/>
      <c r="BI425" s="28"/>
      <c r="BJ425" s="28"/>
      <c r="BK425" s="28"/>
      <c r="BL425" s="28"/>
      <c r="BM425" s="28"/>
      <c r="BN425" s="28"/>
      <c r="BO425" s="28"/>
      <c r="BP425" s="28"/>
      <c r="BQ425" s="28"/>
      <c r="BR425" s="28"/>
      <c r="BS425" s="28"/>
      <c r="BT425" s="28"/>
      <c r="BU425" s="28"/>
      <c r="BV425" s="28"/>
      <c r="BW425" s="28"/>
      <c r="BX425" s="28"/>
      <c r="BY425" s="28"/>
      <c r="BZ425" s="28"/>
      <c r="CA425" s="28"/>
      <c r="CB425" s="28"/>
      <c r="CC425" s="28"/>
      <c r="CD425" s="28"/>
      <c r="CE425" s="28"/>
      <c r="CF425" s="28"/>
      <c r="CG425" s="28"/>
    </row>
    <row r="426" spans="1:85" ht="12.75" x14ac:dyDescent="0.2">
      <c r="A426" s="28"/>
      <c r="B426" s="28"/>
      <c r="C426" s="28"/>
      <c r="D426" s="28"/>
      <c r="E426" s="28"/>
      <c r="F426" s="28"/>
      <c r="G426" s="28"/>
      <c r="H426" s="28"/>
      <c r="I426" s="28"/>
      <c r="J426" s="28"/>
      <c r="K426" s="36"/>
      <c r="L426" s="28"/>
      <c r="M426" s="28"/>
      <c r="N426" s="28"/>
      <c r="O426" s="28"/>
      <c r="P426" s="28"/>
      <c r="Q426" s="36"/>
      <c r="R426" s="36"/>
      <c r="S426" s="36"/>
      <c r="T426" s="36"/>
      <c r="U426" s="36"/>
      <c r="V426" s="36"/>
      <c r="W426" s="36"/>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8"/>
      <c r="BW426" s="28"/>
      <c r="BX426" s="28"/>
      <c r="BY426" s="28"/>
      <c r="BZ426" s="28"/>
      <c r="CA426" s="28"/>
      <c r="CB426" s="28"/>
      <c r="CC426" s="28"/>
      <c r="CD426" s="28"/>
      <c r="CE426" s="28"/>
      <c r="CF426" s="28"/>
      <c r="CG426" s="28"/>
    </row>
    <row r="427" spans="1:85" ht="12.75" x14ac:dyDescent="0.2">
      <c r="A427" s="28"/>
      <c r="B427" s="28"/>
      <c r="C427" s="28"/>
      <c r="D427" s="28"/>
      <c r="E427" s="28"/>
      <c r="F427" s="28"/>
      <c r="G427" s="28"/>
      <c r="H427" s="28"/>
      <c r="I427" s="28"/>
      <c r="J427" s="28"/>
      <c r="K427" s="36"/>
      <c r="L427" s="28"/>
      <c r="M427" s="28"/>
      <c r="N427" s="28"/>
      <c r="O427" s="28"/>
      <c r="P427" s="28"/>
      <c r="Q427" s="36"/>
      <c r="R427" s="36"/>
      <c r="S427" s="36"/>
      <c r="T427" s="36"/>
      <c r="U427" s="36"/>
      <c r="V427" s="36"/>
      <c r="W427" s="36"/>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c r="BF427" s="28"/>
      <c r="BG427" s="28"/>
      <c r="BH427" s="28"/>
      <c r="BI427" s="28"/>
      <c r="BJ427" s="28"/>
      <c r="BK427" s="28"/>
      <c r="BL427" s="28"/>
      <c r="BM427" s="28"/>
      <c r="BN427" s="28"/>
      <c r="BO427" s="28"/>
      <c r="BP427" s="28"/>
      <c r="BQ427" s="28"/>
      <c r="BR427" s="28"/>
      <c r="BS427" s="28"/>
      <c r="BT427" s="28"/>
      <c r="BU427" s="28"/>
      <c r="BV427" s="28"/>
      <c r="BW427" s="28"/>
      <c r="BX427" s="28"/>
      <c r="BY427" s="28"/>
      <c r="BZ427" s="28"/>
      <c r="CA427" s="28"/>
      <c r="CB427" s="28"/>
      <c r="CC427" s="28"/>
      <c r="CD427" s="28"/>
      <c r="CE427" s="28"/>
      <c r="CF427" s="28"/>
      <c r="CG427" s="28"/>
    </row>
    <row r="428" spans="1:85" ht="12.75" x14ac:dyDescent="0.2">
      <c r="A428" s="28"/>
      <c r="B428" s="28"/>
      <c r="C428" s="28"/>
      <c r="D428" s="28"/>
      <c r="E428" s="28"/>
      <c r="F428" s="28"/>
      <c r="G428" s="28"/>
      <c r="H428" s="28"/>
      <c r="I428" s="28"/>
      <c r="J428" s="28"/>
      <c r="K428" s="36"/>
      <c r="L428" s="28"/>
      <c r="M428" s="28"/>
      <c r="N428" s="28"/>
      <c r="O428" s="28"/>
      <c r="P428" s="28"/>
      <c r="Q428" s="36"/>
      <c r="R428" s="36"/>
      <c r="S428" s="36"/>
      <c r="T428" s="36"/>
      <c r="U428" s="36"/>
      <c r="V428" s="36"/>
      <c r="W428" s="36"/>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c r="BW428" s="28"/>
      <c r="BX428" s="28"/>
      <c r="BY428" s="28"/>
      <c r="BZ428" s="28"/>
      <c r="CA428" s="28"/>
      <c r="CB428" s="28"/>
      <c r="CC428" s="28"/>
      <c r="CD428" s="28"/>
      <c r="CE428" s="28"/>
      <c r="CF428" s="28"/>
      <c r="CG428" s="28"/>
    </row>
    <row r="429" spans="1:85" ht="12.75" x14ac:dyDescent="0.2">
      <c r="A429" s="28"/>
      <c r="B429" s="28"/>
      <c r="C429" s="28"/>
      <c r="D429" s="28"/>
      <c r="E429" s="28"/>
      <c r="F429" s="28"/>
      <c r="G429" s="28"/>
      <c r="H429" s="28"/>
      <c r="I429" s="28"/>
      <c r="J429" s="28"/>
      <c r="K429" s="36"/>
      <c r="L429" s="28"/>
      <c r="M429" s="28"/>
      <c r="N429" s="28"/>
      <c r="O429" s="28"/>
      <c r="P429" s="28"/>
      <c r="Q429" s="36"/>
      <c r="R429" s="36"/>
      <c r="S429" s="36"/>
      <c r="T429" s="36"/>
      <c r="U429" s="36"/>
      <c r="V429" s="36"/>
      <c r="W429" s="36"/>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c r="BF429" s="28"/>
      <c r="BG429" s="28"/>
      <c r="BH429" s="28"/>
      <c r="BI429" s="28"/>
      <c r="BJ429" s="28"/>
      <c r="BK429" s="28"/>
      <c r="BL429" s="28"/>
      <c r="BM429" s="28"/>
      <c r="BN429" s="28"/>
      <c r="BO429" s="28"/>
      <c r="BP429" s="28"/>
      <c r="BQ429" s="28"/>
      <c r="BR429" s="28"/>
      <c r="BS429" s="28"/>
      <c r="BT429" s="28"/>
      <c r="BU429" s="28"/>
      <c r="BV429" s="28"/>
      <c r="BW429" s="28"/>
      <c r="BX429" s="28"/>
      <c r="BY429" s="28"/>
      <c r="BZ429" s="28"/>
      <c r="CA429" s="28"/>
      <c r="CB429" s="28"/>
      <c r="CC429" s="28"/>
      <c r="CD429" s="28"/>
      <c r="CE429" s="28"/>
      <c r="CF429" s="28"/>
      <c r="CG429" s="28"/>
    </row>
    <row r="430" spans="1:85" ht="12.75" x14ac:dyDescent="0.2">
      <c r="A430" s="28"/>
      <c r="B430" s="28"/>
      <c r="C430" s="28"/>
      <c r="D430" s="28"/>
      <c r="E430" s="28"/>
      <c r="F430" s="28"/>
      <c r="G430" s="28"/>
      <c r="H430" s="28"/>
      <c r="I430" s="28"/>
      <c r="J430" s="28"/>
      <c r="K430" s="36"/>
      <c r="L430" s="28"/>
      <c r="M430" s="28"/>
      <c r="N430" s="28"/>
      <c r="O430" s="28"/>
      <c r="P430" s="28"/>
      <c r="Q430" s="36"/>
      <c r="R430" s="36"/>
      <c r="S430" s="36"/>
      <c r="T430" s="36"/>
      <c r="U430" s="36"/>
      <c r="V430" s="36"/>
      <c r="W430" s="36"/>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8"/>
      <c r="BW430" s="28"/>
      <c r="BX430" s="28"/>
      <c r="BY430" s="28"/>
      <c r="BZ430" s="28"/>
      <c r="CA430" s="28"/>
      <c r="CB430" s="28"/>
      <c r="CC430" s="28"/>
      <c r="CD430" s="28"/>
      <c r="CE430" s="28"/>
      <c r="CF430" s="28"/>
      <c r="CG430" s="28"/>
    </row>
    <row r="431" spans="1:85" ht="12.75" x14ac:dyDescent="0.2">
      <c r="A431" s="28"/>
      <c r="B431" s="28"/>
      <c r="C431" s="28"/>
      <c r="D431" s="28"/>
      <c r="E431" s="28"/>
      <c r="F431" s="28"/>
      <c r="G431" s="28"/>
      <c r="H431" s="28"/>
      <c r="I431" s="28"/>
      <c r="J431" s="28"/>
      <c r="K431" s="36"/>
      <c r="L431" s="28"/>
      <c r="M431" s="28"/>
      <c r="N431" s="28"/>
      <c r="O431" s="28"/>
      <c r="P431" s="28"/>
      <c r="Q431" s="36"/>
      <c r="R431" s="36"/>
      <c r="S431" s="36"/>
      <c r="T431" s="36"/>
      <c r="U431" s="36"/>
      <c r="V431" s="36"/>
      <c r="W431" s="36"/>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c r="BF431" s="28"/>
      <c r="BG431" s="28"/>
      <c r="BH431" s="28"/>
      <c r="BI431" s="28"/>
      <c r="BJ431" s="28"/>
      <c r="BK431" s="28"/>
      <c r="BL431" s="28"/>
      <c r="BM431" s="28"/>
      <c r="BN431" s="28"/>
      <c r="BO431" s="28"/>
      <c r="BP431" s="28"/>
      <c r="BQ431" s="28"/>
      <c r="BR431" s="28"/>
      <c r="BS431" s="28"/>
      <c r="BT431" s="28"/>
      <c r="BU431" s="28"/>
      <c r="BV431" s="28"/>
      <c r="BW431" s="28"/>
      <c r="BX431" s="28"/>
      <c r="BY431" s="28"/>
      <c r="BZ431" s="28"/>
      <c r="CA431" s="28"/>
      <c r="CB431" s="28"/>
      <c r="CC431" s="28"/>
      <c r="CD431" s="28"/>
      <c r="CE431" s="28"/>
      <c r="CF431" s="28"/>
      <c r="CG431" s="28"/>
    </row>
    <row r="432" spans="1:85" ht="12.75" x14ac:dyDescent="0.2">
      <c r="A432" s="28"/>
      <c r="B432" s="28"/>
      <c r="C432" s="28"/>
      <c r="D432" s="28"/>
      <c r="E432" s="28"/>
      <c r="F432" s="28"/>
      <c r="G432" s="28"/>
      <c r="H432" s="28"/>
      <c r="I432" s="28"/>
      <c r="J432" s="28"/>
      <c r="K432" s="36"/>
      <c r="L432" s="28"/>
      <c r="M432" s="28"/>
      <c r="N432" s="28"/>
      <c r="O432" s="28"/>
      <c r="P432" s="28"/>
      <c r="Q432" s="36"/>
      <c r="R432" s="36"/>
      <c r="S432" s="36"/>
      <c r="T432" s="36"/>
      <c r="U432" s="36"/>
      <c r="V432" s="36"/>
      <c r="W432" s="36"/>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8"/>
      <c r="BW432" s="28"/>
      <c r="BX432" s="28"/>
      <c r="BY432" s="28"/>
      <c r="BZ432" s="28"/>
      <c r="CA432" s="28"/>
      <c r="CB432" s="28"/>
      <c r="CC432" s="28"/>
      <c r="CD432" s="28"/>
      <c r="CE432" s="28"/>
      <c r="CF432" s="28"/>
      <c r="CG432" s="28"/>
    </row>
    <row r="433" spans="1:85" ht="12.75" x14ac:dyDescent="0.2">
      <c r="A433" s="28"/>
      <c r="B433" s="28"/>
      <c r="C433" s="28"/>
      <c r="D433" s="28"/>
      <c r="E433" s="28"/>
      <c r="F433" s="28"/>
      <c r="G433" s="28"/>
      <c r="H433" s="28"/>
      <c r="I433" s="28"/>
      <c r="J433" s="28"/>
      <c r="K433" s="36"/>
      <c r="L433" s="28"/>
      <c r="M433" s="28"/>
      <c r="N433" s="28"/>
      <c r="O433" s="28"/>
      <c r="P433" s="28"/>
      <c r="Q433" s="36"/>
      <c r="R433" s="36"/>
      <c r="S433" s="36"/>
      <c r="T433" s="36"/>
      <c r="U433" s="36"/>
      <c r="V433" s="36"/>
      <c r="W433" s="36"/>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c r="BF433" s="28"/>
      <c r="BG433" s="28"/>
      <c r="BH433" s="28"/>
      <c r="BI433" s="28"/>
      <c r="BJ433" s="28"/>
      <c r="BK433" s="28"/>
      <c r="BL433" s="28"/>
      <c r="BM433" s="28"/>
      <c r="BN433" s="28"/>
      <c r="BO433" s="28"/>
      <c r="BP433" s="28"/>
      <c r="BQ433" s="28"/>
      <c r="BR433" s="28"/>
      <c r="BS433" s="28"/>
      <c r="BT433" s="28"/>
      <c r="BU433" s="28"/>
      <c r="BV433" s="28"/>
      <c r="BW433" s="28"/>
      <c r="BX433" s="28"/>
      <c r="BY433" s="28"/>
      <c r="BZ433" s="28"/>
      <c r="CA433" s="28"/>
      <c r="CB433" s="28"/>
      <c r="CC433" s="28"/>
      <c r="CD433" s="28"/>
      <c r="CE433" s="28"/>
      <c r="CF433" s="28"/>
      <c r="CG433" s="28"/>
    </row>
    <row r="434" spans="1:85" ht="12.75" x14ac:dyDescent="0.2">
      <c r="A434" s="28"/>
      <c r="B434" s="28"/>
      <c r="C434" s="28"/>
      <c r="D434" s="28"/>
      <c r="E434" s="28"/>
      <c r="F434" s="28"/>
      <c r="G434" s="28"/>
      <c r="H434" s="28"/>
      <c r="I434" s="28"/>
      <c r="J434" s="28"/>
      <c r="K434" s="36"/>
      <c r="L434" s="28"/>
      <c r="M434" s="28"/>
      <c r="N434" s="28"/>
      <c r="O434" s="28"/>
      <c r="P434" s="28"/>
      <c r="Q434" s="36"/>
      <c r="R434" s="36"/>
      <c r="S434" s="36"/>
      <c r="T434" s="36"/>
      <c r="U434" s="36"/>
      <c r="V434" s="36"/>
      <c r="W434" s="36"/>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8"/>
      <c r="BW434" s="28"/>
      <c r="BX434" s="28"/>
      <c r="BY434" s="28"/>
      <c r="BZ434" s="28"/>
      <c r="CA434" s="28"/>
      <c r="CB434" s="28"/>
      <c r="CC434" s="28"/>
      <c r="CD434" s="28"/>
      <c r="CE434" s="28"/>
      <c r="CF434" s="28"/>
      <c r="CG434" s="28"/>
    </row>
    <row r="435" spans="1:85" ht="12.75" x14ac:dyDescent="0.2">
      <c r="A435" s="28"/>
      <c r="B435" s="28"/>
      <c r="C435" s="28"/>
      <c r="D435" s="28"/>
      <c r="E435" s="28"/>
      <c r="F435" s="28"/>
      <c r="G435" s="28"/>
      <c r="H435" s="28"/>
      <c r="I435" s="28"/>
      <c r="J435" s="28"/>
      <c r="K435" s="36"/>
      <c r="L435" s="28"/>
      <c r="M435" s="28"/>
      <c r="N435" s="28"/>
      <c r="O435" s="28"/>
      <c r="P435" s="28"/>
      <c r="Q435" s="36"/>
      <c r="R435" s="36"/>
      <c r="S435" s="36"/>
      <c r="T435" s="36"/>
      <c r="U435" s="36"/>
      <c r="V435" s="36"/>
      <c r="W435" s="36"/>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c r="BF435" s="28"/>
      <c r="BG435" s="28"/>
      <c r="BH435" s="28"/>
      <c r="BI435" s="28"/>
      <c r="BJ435" s="28"/>
      <c r="BK435" s="28"/>
      <c r="BL435" s="28"/>
      <c r="BM435" s="28"/>
      <c r="BN435" s="28"/>
      <c r="BO435" s="28"/>
      <c r="BP435" s="28"/>
      <c r="BQ435" s="28"/>
      <c r="BR435" s="28"/>
      <c r="BS435" s="28"/>
      <c r="BT435" s="28"/>
      <c r="BU435" s="28"/>
      <c r="BV435" s="28"/>
      <c r="BW435" s="28"/>
      <c r="BX435" s="28"/>
      <c r="BY435" s="28"/>
      <c r="BZ435" s="28"/>
      <c r="CA435" s="28"/>
      <c r="CB435" s="28"/>
      <c r="CC435" s="28"/>
      <c r="CD435" s="28"/>
      <c r="CE435" s="28"/>
      <c r="CF435" s="28"/>
      <c r="CG435" s="28"/>
    </row>
    <row r="436" spans="1:85" ht="12.75" x14ac:dyDescent="0.2">
      <c r="A436" s="28"/>
      <c r="B436" s="28"/>
      <c r="C436" s="28"/>
      <c r="D436" s="28"/>
      <c r="E436" s="28"/>
      <c r="F436" s="28"/>
      <c r="G436" s="28"/>
      <c r="H436" s="28"/>
      <c r="I436" s="28"/>
      <c r="J436" s="28"/>
      <c r="K436" s="36"/>
      <c r="L436" s="28"/>
      <c r="M436" s="28"/>
      <c r="N436" s="28"/>
      <c r="O436" s="28"/>
      <c r="P436" s="28"/>
      <c r="Q436" s="36"/>
      <c r="R436" s="36"/>
      <c r="S436" s="36"/>
      <c r="T436" s="36"/>
      <c r="U436" s="36"/>
      <c r="V436" s="36"/>
      <c r="W436" s="36"/>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8"/>
      <c r="BW436" s="28"/>
      <c r="BX436" s="28"/>
      <c r="BY436" s="28"/>
      <c r="BZ436" s="28"/>
      <c r="CA436" s="28"/>
      <c r="CB436" s="28"/>
      <c r="CC436" s="28"/>
      <c r="CD436" s="28"/>
      <c r="CE436" s="28"/>
      <c r="CF436" s="28"/>
      <c r="CG436" s="28"/>
    </row>
    <row r="437" spans="1:85" ht="12.75" x14ac:dyDescent="0.2">
      <c r="A437" s="28"/>
      <c r="B437" s="28"/>
      <c r="C437" s="28"/>
      <c r="D437" s="28"/>
      <c r="E437" s="28"/>
      <c r="F437" s="28"/>
      <c r="G437" s="28"/>
      <c r="H437" s="28"/>
      <c r="I437" s="28"/>
      <c r="J437" s="28"/>
      <c r="K437" s="36"/>
      <c r="L437" s="28"/>
      <c r="M437" s="28"/>
      <c r="N437" s="28"/>
      <c r="O437" s="28"/>
      <c r="P437" s="28"/>
      <c r="Q437" s="36"/>
      <c r="R437" s="36"/>
      <c r="S437" s="36"/>
      <c r="T437" s="36"/>
      <c r="U437" s="36"/>
      <c r="V437" s="36"/>
      <c r="W437" s="36"/>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c r="BG437" s="28"/>
      <c r="BH437" s="28"/>
      <c r="BI437" s="28"/>
      <c r="BJ437" s="28"/>
      <c r="BK437" s="28"/>
      <c r="BL437" s="28"/>
      <c r="BM437" s="28"/>
      <c r="BN437" s="28"/>
      <c r="BO437" s="28"/>
      <c r="BP437" s="28"/>
      <c r="BQ437" s="28"/>
      <c r="BR437" s="28"/>
      <c r="BS437" s="28"/>
      <c r="BT437" s="28"/>
      <c r="BU437" s="28"/>
      <c r="BV437" s="28"/>
      <c r="BW437" s="28"/>
      <c r="BX437" s="28"/>
      <c r="BY437" s="28"/>
      <c r="BZ437" s="28"/>
      <c r="CA437" s="28"/>
      <c r="CB437" s="28"/>
      <c r="CC437" s="28"/>
      <c r="CD437" s="28"/>
      <c r="CE437" s="28"/>
      <c r="CF437" s="28"/>
      <c r="CG437" s="28"/>
    </row>
    <row r="438" spans="1:85" ht="12.75" x14ac:dyDescent="0.2">
      <c r="A438" s="28"/>
      <c r="B438" s="28"/>
      <c r="C438" s="28"/>
      <c r="D438" s="28"/>
      <c r="E438" s="28"/>
      <c r="F438" s="28"/>
      <c r="G438" s="28"/>
      <c r="H438" s="28"/>
      <c r="I438" s="28"/>
      <c r="J438" s="28"/>
      <c r="K438" s="36"/>
      <c r="L438" s="28"/>
      <c r="M438" s="28"/>
      <c r="N438" s="28"/>
      <c r="O438" s="28"/>
      <c r="P438" s="28"/>
      <c r="Q438" s="36"/>
      <c r="R438" s="36"/>
      <c r="S438" s="36"/>
      <c r="T438" s="36"/>
      <c r="U438" s="36"/>
      <c r="V438" s="36"/>
      <c r="W438" s="36"/>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8"/>
      <c r="BW438" s="28"/>
      <c r="BX438" s="28"/>
      <c r="BY438" s="28"/>
      <c r="BZ438" s="28"/>
      <c r="CA438" s="28"/>
      <c r="CB438" s="28"/>
      <c r="CC438" s="28"/>
      <c r="CD438" s="28"/>
      <c r="CE438" s="28"/>
      <c r="CF438" s="28"/>
      <c r="CG438" s="28"/>
    </row>
    <row r="439" spans="1:85" ht="12.75" x14ac:dyDescent="0.2">
      <c r="A439" s="28"/>
      <c r="B439" s="28"/>
      <c r="C439" s="28"/>
      <c r="D439" s="28"/>
      <c r="E439" s="28"/>
      <c r="F439" s="28"/>
      <c r="G439" s="28"/>
      <c r="H439" s="28"/>
      <c r="I439" s="28"/>
      <c r="J439" s="28"/>
      <c r="K439" s="36"/>
      <c r="L439" s="28"/>
      <c r="M439" s="28"/>
      <c r="N439" s="28"/>
      <c r="O439" s="28"/>
      <c r="P439" s="28"/>
      <c r="Q439" s="36"/>
      <c r="R439" s="36"/>
      <c r="S439" s="36"/>
      <c r="T439" s="36"/>
      <c r="U439" s="36"/>
      <c r="V439" s="36"/>
      <c r="W439" s="36"/>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c r="BF439" s="28"/>
      <c r="BG439" s="28"/>
      <c r="BH439" s="28"/>
      <c r="BI439" s="28"/>
      <c r="BJ439" s="28"/>
      <c r="BK439" s="28"/>
      <c r="BL439" s="28"/>
      <c r="BM439" s="28"/>
      <c r="BN439" s="28"/>
      <c r="BO439" s="28"/>
      <c r="BP439" s="28"/>
      <c r="BQ439" s="28"/>
      <c r="BR439" s="28"/>
      <c r="BS439" s="28"/>
      <c r="BT439" s="28"/>
      <c r="BU439" s="28"/>
      <c r="BV439" s="28"/>
      <c r="BW439" s="28"/>
      <c r="BX439" s="28"/>
      <c r="BY439" s="28"/>
      <c r="BZ439" s="28"/>
      <c r="CA439" s="28"/>
      <c r="CB439" s="28"/>
      <c r="CC439" s="28"/>
      <c r="CD439" s="28"/>
      <c r="CE439" s="28"/>
      <c r="CF439" s="28"/>
      <c r="CG439" s="28"/>
    </row>
    <row r="440" spans="1:85" ht="12.75" x14ac:dyDescent="0.2">
      <c r="A440" s="28"/>
      <c r="B440" s="28"/>
      <c r="C440" s="28"/>
      <c r="D440" s="28"/>
      <c r="E440" s="28"/>
      <c r="F440" s="28"/>
      <c r="G440" s="28"/>
      <c r="H440" s="28"/>
      <c r="I440" s="28"/>
      <c r="J440" s="28"/>
      <c r="K440" s="36"/>
      <c r="L440" s="28"/>
      <c r="M440" s="28"/>
      <c r="N440" s="28"/>
      <c r="O440" s="28"/>
      <c r="P440" s="28"/>
      <c r="Q440" s="36"/>
      <c r="R440" s="36"/>
      <c r="S440" s="36"/>
      <c r="T440" s="36"/>
      <c r="U440" s="36"/>
      <c r="V440" s="36"/>
      <c r="W440" s="36"/>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8"/>
      <c r="BW440" s="28"/>
      <c r="BX440" s="28"/>
      <c r="BY440" s="28"/>
      <c r="BZ440" s="28"/>
      <c r="CA440" s="28"/>
      <c r="CB440" s="28"/>
      <c r="CC440" s="28"/>
      <c r="CD440" s="28"/>
      <c r="CE440" s="28"/>
      <c r="CF440" s="28"/>
      <c r="CG440" s="28"/>
    </row>
    <row r="441" spans="1:85" ht="12.75" x14ac:dyDescent="0.2">
      <c r="A441" s="28"/>
      <c r="B441" s="28"/>
      <c r="C441" s="28"/>
      <c r="D441" s="28"/>
      <c r="E441" s="28"/>
      <c r="F441" s="28"/>
      <c r="G441" s="28"/>
      <c r="H441" s="28"/>
      <c r="I441" s="28"/>
      <c r="J441" s="28"/>
      <c r="K441" s="36"/>
      <c r="L441" s="28"/>
      <c r="M441" s="28"/>
      <c r="N441" s="28"/>
      <c r="O441" s="28"/>
      <c r="P441" s="28"/>
      <c r="Q441" s="36"/>
      <c r="R441" s="36"/>
      <c r="S441" s="36"/>
      <c r="T441" s="36"/>
      <c r="U441" s="36"/>
      <c r="V441" s="36"/>
      <c r="W441" s="36"/>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c r="BF441" s="28"/>
      <c r="BG441" s="28"/>
      <c r="BH441" s="28"/>
      <c r="BI441" s="28"/>
      <c r="BJ441" s="28"/>
      <c r="BK441" s="28"/>
      <c r="BL441" s="28"/>
      <c r="BM441" s="28"/>
      <c r="BN441" s="28"/>
      <c r="BO441" s="28"/>
      <c r="BP441" s="28"/>
      <c r="BQ441" s="28"/>
      <c r="BR441" s="28"/>
      <c r="BS441" s="28"/>
      <c r="BT441" s="28"/>
      <c r="BU441" s="28"/>
      <c r="BV441" s="28"/>
      <c r="BW441" s="28"/>
      <c r="BX441" s="28"/>
      <c r="BY441" s="28"/>
      <c r="BZ441" s="28"/>
      <c r="CA441" s="28"/>
      <c r="CB441" s="28"/>
      <c r="CC441" s="28"/>
      <c r="CD441" s="28"/>
      <c r="CE441" s="28"/>
      <c r="CF441" s="28"/>
      <c r="CG441" s="28"/>
    </row>
    <row r="442" spans="1:85" ht="12.75" x14ac:dyDescent="0.2">
      <c r="A442" s="28"/>
      <c r="B442" s="28"/>
      <c r="C442" s="28"/>
      <c r="D442" s="28"/>
      <c r="E442" s="28"/>
      <c r="F442" s="28"/>
      <c r="G442" s="28"/>
      <c r="H442" s="28"/>
      <c r="I442" s="28"/>
      <c r="J442" s="28"/>
      <c r="K442" s="36"/>
      <c r="L442" s="28"/>
      <c r="M442" s="28"/>
      <c r="N442" s="28"/>
      <c r="O442" s="28"/>
      <c r="P442" s="28"/>
      <c r="Q442" s="36"/>
      <c r="R442" s="36"/>
      <c r="S442" s="36"/>
      <c r="T442" s="36"/>
      <c r="U442" s="36"/>
      <c r="V442" s="36"/>
      <c r="W442" s="36"/>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8"/>
      <c r="BW442" s="28"/>
      <c r="BX442" s="28"/>
      <c r="BY442" s="28"/>
      <c r="BZ442" s="28"/>
      <c r="CA442" s="28"/>
      <c r="CB442" s="28"/>
      <c r="CC442" s="28"/>
      <c r="CD442" s="28"/>
      <c r="CE442" s="28"/>
      <c r="CF442" s="28"/>
      <c r="CG442" s="28"/>
    </row>
    <row r="443" spans="1:85" ht="12.75" x14ac:dyDescent="0.2">
      <c r="A443" s="28"/>
      <c r="B443" s="28"/>
      <c r="C443" s="28"/>
      <c r="D443" s="28"/>
      <c r="E443" s="28"/>
      <c r="F443" s="28"/>
      <c r="G443" s="28"/>
      <c r="H443" s="28"/>
      <c r="I443" s="28"/>
      <c r="J443" s="28"/>
      <c r="K443" s="36"/>
      <c r="L443" s="28"/>
      <c r="M443" s="28"/>
      <c r="N443" s="28"/>
      <c r="O443" s="28"/>
      <c r="P443" s="28"/>
      <c r="Q443" s="36"/>
      <c r="R443" s="36"/>
      <c r="S443" s="36"/>
      <c r="T443" s="36"/>
      <c r="U443" s="36"/>
      <c r="V443" s="36"/>
      <c r="W443" s="36"/>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c r="BF443" s="28"/>
      <c r="BG443" s="28"/>
      <c r="BH443" s="28"/>
      <c r="BI443" s="28"/>
      <c r="BJ443" s="28"/>
      <c r="BK443" s="28"/>
      <c r="BL443" s="28"/>
      <c r="BM443" s="28"/>
      <c r="BN443" s="28"/>
      <c r="BO443" s="28"/>
      <c r="BP443" s="28"/>
      <c r="BQ443" s="28"/>
      <c r="BR443" s="28"/>
      <c r="BS443" s="28"/>
      <c r="BT443" s="28"/>
      <c r="BU443" s="28"/>
      <c r="BV443" s="28"/>
      <c r="BW443" s="28"/>
      <c r="BX443" s="28"/>
      <c r="BY443" s="28"/>
      <c r="BZ443" s="28"/>
      <c r="CA443" s="28"/>
      <c r="CB443" s="28"/>
      <c r="CC443" s="28"/>
      <c r="CD443" s="28"/>
      <c r="CE443" s="28"/>
      <c r="CF443" s="28"/>
      <c r="CG443" s="28"/>
    </row>
    <row r="444" spans="1:85" ht="12.75" x14ac:dyDescent="0.2">
      <c r="A444" s="28"/>
      <c r="B444" s="28"/>
      <c r="C444" s="28"/>
      <c r="D444" s="28"/>
      <c r="E444" s="28"/>
      <c r="F444" s="28"/>
      <c r="G444" s="28"/>
      <c r="H444" s="28"/>
      <c r="I444" s="28"/>
      <c r="J444" s="28"/>
      <c r="K444" s="36"/>
      <c r="L444" s="28"/>
      <c r="M444" s="28"/>
      <c r="N444" s="28"/>
      <c r="O444" s="28"/>
      <c r="P444" s="28"/>
      <c r="Q444" s="36"/>
      <c r="R444" s="36"/>
      <c r="S444" s="36"/>
      <c r="T444" s="36"/>
      <c r="U444" s="36"/>
      <c r="V444" s="36"/>
      <c r="W444" s="36"/>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c r="BW444" s="28"/>
      <c r="BX444" s="28"/>
      <c r="BY444" s="28"/>
      <c r="BZ444" s="28"/>
      <c r="CA444" s="28"/>
      <c r="CB444" s="28"/>
      <c r="CC444" s="28"/>
      <c r="CD444" s="28"/>
      <c r="CE444" s="28"/>
      <c r="CF444" s="28"/>
      <c r="CG444" s="28"/>
    </row>
    <row r="445" spans="1:85" ht="12.75" x14ac:dyDescent="0.2">
      <c r="A445" s="28"/>
      <c r="B445" s="28"/>
      <c r="C445" s="28"/>
      <c r="D445" s="28"/>
      <c r="E445" s="28"/>
      <c r="F445" s="28"/>
      <c r="G445" s="28"/>
      <c r="H445" s="28"/>
      <c r="I445" s="28"/>
      <c r="J445" s="28"/>
      <c r="K445" s="36"/>
      <c r="L445" s="28"/>
      <c r="M445" s="28"/>
      <c r="N445" s="28"/>
      <c r="O445" s="28"/>
      <c r="P445" s="28"/>
      <c r="Q445" s="36"/>
      <c r="R445" s="36"/>
      <c r="S445" s="36"/>
      <c r="T445" s="36"/>
      <c r="U445" s="36"/>
      <c r="V445" s="36"/>
      <c r="W445" s="36"/>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c r="BF445" s="28"/>
      <c r="BG445" s="28"/>
      <c r="BH445" s="28"/>
      <c r="BI445" s="28"/>
      <c r="BJ445" s="28"/>
      <c r="BK445" s="28"/>
      <c r="BL445" s="28"/>
      <c r="BM445" s="28"/>
      <c r="BN445" s="28"/>
      <c r="BO445" s="28"/>
      <c r="BP445" s="28"/>
      <c r="BQ445" s="28"/>
      <c r="BR445" s="28"/>
      <c r="BS445" s="28"/>
      <c r="BT445" s="28"/>
      <c r="BU445" s="28"/>
      <c r="BV445" s="28"/>
      <c r="BW445" s="28"/>
      <c r="BX445" s="28"/>
      <c r="BY445" s="28"/>
      <c r="BZ445" s="28"/>
      <c r="CA445" s="28"/>
      <c r="CB445" s="28"/>
      <c r="CC445" s="28"/>
      <c r="CD445" s="28"/>
      <c r="CE445" s="28"/>
      <c r="CF445" s="28"/>
      <c r="CG445" s="28"/>
    </row>
    <row r="446" spans="1:85" ht="12.75" x14ac:dyDescent="0.2">
      <c r="A446" s="28"/>
      <c r="B446" s="28"/>
      <c r="C446" s="28"/>
      <c r="D446" s="28"/>
      <c r="E446" s="28"/>
      <c r="F446" s="28"/>
      <c r="G446" s="28"/>
      <c r="H446" s="28"/>
      <c r="I446" s="28"/>
      <c r="J446" s="28"/>
      <c r="K446" s="36"/>
      <c r="L446" s="28"/>
      <c r="M446" s="28"/>
      <c r="N446" s="28"/>
      <c r="O446" s="28"/>
      <c r="P446" s="28"/>
      <c r="Q446" s="36"/>
      <c r="R446" s="36"/>
      <c r="S446" s="36"/>
      <c r="T446" s="36"/>
      <c r="U446" s="36"/>
      <c r="V446" s="36"/>
      <c r="W446" s="36"/>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8"/>
      <c r="BW446" s="28"/>
      <c r="BX446" s="28"/>
      <c r="BY446" s="28"/>
      <c r="BZ446" s="28"/>
      <c r="CA446" s="28"/>
      <c r="CB446" s="28"/>
      <c r="CC446" s="28"/>
      <c r="CD446" s="28"/>
      <c r="CE446" s="28"/>
      <c r="CF446" s="28"/>
      <c r="CG446" s="28"/>
    </row>
    <row r="447" spans="1:85" ht="12.75" x14ac:dyDescent="0.2">
      <c r="A447" s="28"/>
      <c r="B447" s="28"/>
      <c r="C447" s="28"/>
      <c r="D447" s="28"/>
      <c r="E447" s="28"/>
      <c r="F447" s="28"/>
      <c r="G447" s="28"/>
      <c r="H447" s="28"/>
      <c r="I447" s="28"/>
      <c r="J447" s="28"/>
      <c r="K447" s="36"/>
      <c r="L447" s="28"/>
      <c r="M447" s="28"/>
      <c r="N447" s="28"/>
      <c r="O447" s="28"/>
      <c r="P447" s="28"/>
      <c r="Q447" s="36"/>
      <c r="R447" s="36"/>
      <c r="S447" s="36"/>
      <c r="T447" s="36"/>
      <c r="U447" s="36"/>
      <c r="V447" s="36"/>
      <c r="W447" s="36"/>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c r="BF447" s="28"/>
      <c r="BG447" s="28"/>
      <c r="BH447" s="28"/>
      <c r="BI447" s="28"/>
      <c r="BJ447" s="28"/>
      <c r="BK447" s="28"/>
      <c r="BL447" s="28"/>
      <c r="BM447" s="28"/>
      <c r="BN447" s="28"/>
      <c r="BO447" s="28"/>
      <c r="BP447" s="28"/>
      <c r="BQ447" s="28"/>
      <c r="BR447" s="28"/>
      <c r="BS447" s="28"/>
      <c r="BT447" s="28"/>
      <c r="BU447" s="28"/>
      <c r="BV447" s="28"/>
      <c r="BW447" s="28"/>
      <c r="BX447" s="28"/>
      <c r="BY447" s="28"/>
      <c r="BZ447" s="28"/>
      <c r="CA447" s="28"/>
      <c r="CB447" s="28"/>
      <c r="CC447" s="28"/>
      <c r="CD447" s="28"/>
      <c r="CE447" s="28"/>
      <c r="CF447" s="28"/>
      <c r="CG447" s="28"/>
    </row>
    <row r="448" spans="1:85" ht="12.75" x14ac:dyDescent="0.2">
      <c r="A448" s="28"/>
      <c r="B448" s="28"/>
      <c r="C448" s="28"/>
      <c r="D448" s="28"/>
      <c r="E448" s="28"/>
      <c r="F448" s="28"/>
      <c r="G448" s="28"/>
      <c r="H448" s="28"/>
      <c r="I448" s="28"/>
      <c r="J448" s="28"/>
      <c r="K448" s="36"/>
      <c r="L448" s="28"/>
      <c r="M448" s="28"/>
      <c r="N448" s="28"/>
      <c r="O448" s="28"/>
      <c r="P448" s="28"/>
      <c r="Q448" s="36"/>
      <c r="R448" s="36"/>
      <c r="S448" s="36"/>
      <c r="T448" s="36"/>
      <c r="U448" s="36"/>
      <c r="V448" s="36"/>
      <c r="W448" s="36"/>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8"/>
      <c r="BW448" s="28"/>
      <c r="BX448" s="28"/>
      <c r="BY448" s="28"/>
      <c r="BZ448" s="28"/>
      <c r="CA448" s="28"/>
      <c r="CB448" s="28"/>
      <c r="CC448" s="28"/>
      <c r="CD448" s="28"/>
      <c r="CE448" s="28"/>
      <c r="CF448" s="28"/>
      <c r="CG448" s="28"/>
    </row>
    <row r="449" spans="1:85" ht="12.75" x14ac:dyDescent="0.2">
      <c r="A449" s="28"/>
      <c r="B449" s="28"/>
      <c r="C449" s="28"/>
      <c r="D449" s="28"/>
      <c r="E449" s="28"/>
      <c r="F449" s="28"/>
      <c r="G449" s="28"/>
      <c r="H449" s="28"/>
      <c r="I449" s="28"/>
      <c r="J449" s="28"/>
      <c r="K449" s="36"/>
      <c r="L449" s="28"/>
      <c r="M449" s="28"/>
      <c r="N449" s="28"/>
      <c r="O449" s="28"/>
      <c r="P449" s="28"/>
      <c r="Q449" s="36"/>
      <c r="R449" s="36"/>
      <c r="S449" s="36"/>
      <c r="T449" s="36"/>
      <c r="U449" s="36"/>
      <c r="V449" s="36"/>
      <c r="W449" s="36"/>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c r="BG449" s="28"/>
      <c r="BH449" s="28"/>
      <c r="BI449" s="28"/>
      <c r="BJ449" s="28"/>
      <c r="BK449" s="28"/>
      <c r="BL449" s="28"/>
      <c r="BM449" s="28"/>
      <c r="BN449" s="28"/>
      <c r="BO449" s="28"/>
      <c r="BP449" s="28"/>
      <c r="BQ449" s="28"/>
      <c r="BR449" s="28"/>
      <c r="BS449" s="28"/>
      <c r="BT449" s="28"/>
      <c r="BU449" s="28"/>
      <c r="BV449" s="28"/>
      <c r="BW449" s="28"/>
      <c r="BX449" s="28"/>
      <c r="BY449" s="28"/>
      <c r="BZ449" s="28"/>
      <c r="CA449" s="28"/>
      <c r="CB449" s="28"/>
      <c r="CC449" s="28"/>
      <c r="CD449" s="28"/>
      <c r="CE449" s="28"/>
      <c r="CF449" s="28"/>
      <c r="CG449" s="28"/>
    </row>
    <row r="450" spans="1:85" ht="12.75" x14ac:dyDescent="0.2">
      <c r="A450" s="28"/>
      <c r="B450" s="28"/>
      <c r="C450" s="28"/>
      <c r="D450" s="28"/>
      <c r="E450" s="28"/>
      <c r="F450" s="28"/>
      <c r="G450" s="28"/>
      <c r="H450" s="28"/>
      <c r="I450" s="28"/>
      <c r="J450" s="28"/>
      <c r="K450" s="36"/>
      <c r="L450" s="28"/>
      <c r="M450" s="28"/>
      <c r="N450" s="28"/>
      <c r="O450" s="28"/>
      <c r="P450" s="28"/>
      <c r="Q450" s="36"/>
      <c r="R450" s="36"/>
      <c r="S450" s="36"/>
      <c r="T450" s="36"/>
      <c r="U450" s="36"/>
      <c r="V450" s="36"/>
      <c r="W450" s="36"/>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8"/>
      <c r="BW450" s="28"/>
      <c r="BX450" s="28"/>
      <c r="BY450" s="28"/>
      <c r="BZ450" s="28"/>
      <c r="CA450" s="28"/>
      <c r="CB450" s="28"/>
      <c r="CC450" s="28"/>
      <c r="CD450" s="28"/>
      <c r="CE450" s="28"/>
      <c r="CF450" s="28"/>
      <c r="CG450" s="28"/>
    </row>
    <row r="451" spans="1:85" ht="12.75" x14ac:dyDescent="0.2">
      <c r="A451" s="28"/>
      <c r="B451" s="28"/>
      <c r="C451" s="28"/>
      <c r="D451" s="28"/>
      <c r="E451" s="28"/>
      <c r="F451" s="28"/>
      <c r="G451" s="28"/>
      <c r="H451" s="28"/>
      <c r="I451" s="28"/>
      <c r="J451" s="28"/>
      <c r="K451" s="36"/>
      <c r="L451" s="28"/>
      <c r="M451" s="28"/>
      <c r="N451" s="28"/>
      <c r="O451" s="28"/>
      <c r="P451" s="28"/>
      <c r="Q451" s="36"/>
      <c r="R451" s="36"/>
      <c r="S451" s="36"/>
      <c r="T451" s="36"/>
      <c r="U451" s="36"/>
      <c r="V451" s="36"/>
      <c r="W451" s="36"/>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c r="BF451" s="28"/>
      <c r="BG451" s="28"/>
      <c r="BH451" s="28"/>
      <c r="BI451" s="28"/>
      <c r="BJ451" s="28"/>
      <c r="BK451" s="28"/>
      <c r="BL451" s="28"/>
      <c r="BM451" s="28"/>
      <c r="BN451" s="28"/>
      <c r="BO451" s="28"/>
      <c r="BP451" s="28"/>
      <c r="BQ451" s="28"/>
      <c r="BR451" s="28"/>
      <c r="BS451" s="28"/>
      <c r="BT451" s="28"/>
      <c r="BU451" s="28"/>
      <c r="BV451" s="28"/>
      <c r="BW451" s="28"/>
      <c r="BX451" s="28"/>
      <c r="BY451" s="28"/>
      <c r="BZ451" s="28"/>
      <c r="CA451" s="28"/>
      <c r="CB451" s="28"/>
      <c r="CC451" s="28"/>
      <c r="CD451" s="28"/>
      <c r="CE451" s="28"/>
      <c r="CF451" s="28"/>
      <c r="CG451" s="28"/>
    </row>
    <row r="452" spans="1:85" ht="12.75" x14ac:dyDescent="0.2">
      <c r="A452" s="28"/>
      <c r="B452" s="28"/>
      <c r="C452" s="28"/>
      <c r="D452" s="28"/>
      <c r="E452" s="28"/>
      <c r="F452" s="28"/>
      <c r="G452" s="28"/>
      <c r="H452" s="28"/>
      <c r="I452" s="28"/>
      <c r="J452" s="28"/>
      <c r="K452" s="36"/>
      <c r="L452" s="28"/>
      <c r="M452" s="28"/>
      <c r="N452" s="28"/>
      <c r="O452" s="28"/>
      <c r="P452" s="28"/>
      <c r="Q452" s="36"/>
      <c r="R452" s="36"/>
      <c r="S452" s="36"/>
      <c r="T452" s="36"/>
      <c r="U452" s="36"/>
      <c r="V452" s="36"/>
      <c r="W452" s="36"/>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8"/>
      <c r="BW452" s="28"/>
      <c r="BX452" s="28"/>
      <c r="BY452" s="28"/>
      <c r="BZ452" s="28"/>
      <c r="CA452" s="28"/>
      <c r="CB452" s="28"/>
      <c r="CC452" s="28"/>
      <c r="CD452" s="28"/>
      <c r="CE452" s="28"/>
      <c r="CF452" s="28"/>
      <c r="CG452" s="28"/>
    </row>
    <row r="453" spans="1:85" ht="12.75" x14ac:dyDescent="0.2">
      <c r="A453" s="28"/>
      <c r="B453" s="28"/>
      <c r="C453" s="28"/>
      <c r="D453" s="28"/>
      <c r="E453" s="28"/>
      <c r="F453" s="28"/>
      <c r="G453" s="28"/>
      <c r="H453" s="28"/>
      <c r="I453" s="28"/>
      <c r="J453" s="28"/>
      <c r="K453" s="36"/>
      <c r="L453" s="28"/>
      <c r="M453" s="28"/>
      <c r="N453" s="28"/>
      <c r="O453" s="28"/>
      <c r="P453" s="28"/>
      <c r="Q453" s="36"/>
      <c r="R453" s="36"/>
      <c r="S453" s="36"/>
      <c r="T453" s="36"/>
      <c r="U453" s="36"/>
      <c r="V453" s="36"/>
      <c r="W453" s="36"/>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c r="BF453" s="28"/>
      <c r="BG453" s="28"/>
      <c r="BH453" s="28"/>
      <c r="BI453" s="28"/>
      <c r="BJ453" s="28"/>
      <c r="BK453" s="28"/>
      <c r="BL453" s="28"/>
      <c r="BM453" s="28"/>
      <c r="BN453" s="28"/>
      <c r="BO453" s="28"/>
      <c r="BP453" s="28"/>
      <c r="BQ453" s="28"/>
      <c r="BR453" s="28"/>
      <c r="BS453" s="28"/>
      <c r="BT453" s="28"/>
      <c r="BU453" s="28"/>
      <c r="BV453" s="28"/>
      <c r="BW453" s="28"/>
      <c r="BX453" s="28"/>
      <c r="BY453" s="28"/>
      <c r="BZ453" s="28"/>
      <c r="CA453" s="28"/>
      <c r="CB453" s="28"/>
      <c r="CC453" s="28"/>
      <c r="CD453" s="28"/>
      <c r="CE453" s="28"/>
      <c r="CF453" s="28"/>
      <c r="CG453" s="28"/>
    </row>
    <row r="454" spans="1:85" ht="12.75" x14ac:dyDescent="0.2">
      <c r="A454" s="28"/>
      <c r="B454" s="28"/>
      <c r="C454" s="28"/>
      <c r="D454" s="28"/>
      <c r="E454" s="28"/>
      <c r="F454" s="28"/>
      <c r="G454" s="28"/>
      <c r="H454" s="28"/>
      <c r="I454" s="28"/>
      <c r="J454" s="28"/>
      <c r="K454" s="36"/>
      <c r="L454" s="28"/>
      <c r="M454" s="28"/>
      <c r="N454" s="28"/>
      <c r="O454" s="28"/>
      <c r="P454" s="28"/>
      <c r="Q454" s="36"/>
      <c r="R454" s="36"/>
      <c r="S454" s="36"/>
      <c r="T454" s="36"/>
      <c r="U454" s="36"/>
      <c r="V454" s="36"/>
      <c r="W454" s="36"/>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c r="BW454" s="28"/>
      <c r="BX454" s="28"/>
      <c r="BY454" s="28"/>
      <c r="BZ454" s="28"/>
      <c r="CA454" s="28"/>
      <c r="CB454" s="28"/>
      <c r="CC454" s="28"/>
      <c r="CD454" s="28"/>
      <c r="CE454" s="28"/>
      <c r="CF454" s="28"/>
      <c r="CG454" s="28"/>
    </row>
    <row r="455" spans="1:85" ht="12.75" x14ac:dyDescent="0.2">
      <c r="A455" s="28"/>
      <c r="B455" s="28"/>
      <c r="C455" s="28"/>
      <c r="D455" s="28"/>
      <c r="E455" s="28"/>
      <c r="F455" s="28"/>
      <c r="G455" s="28"/>
      <c r="H455" s="28"/>
      <c r="I455" s="28"/>
      <c r="J455" s="28"/>
      <c r="K455" s="36"/>
      <c r="L455" s="28"/>
      <c r="M455" s="28"/>
      <c r="N455" s="28"/>
      <c r="O455" s="28"/>
      <c r="P455" s="28"/>
      <c r="Q455" s="36"/>
      <c r="R455" s="36"/>
      <c r="S455" s="36"/>
      <c r="T455" s="36"/>
      <c r="U455" s="36"/>
      <c r="V455" s="36"/>
      <c r="W455" s="36"/>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c r="BG455" s="28"/>
      <c r="BH455" s="28"/>
      <c r="BI455" s="28"/>
      <c r="BJ455" s="28"/>
      <c r="BK455" s="28"/>
      <c r="BL455" s="28"/>
      <c r="BM455" s="28"/>
      <c r="BN455" s="28"/>
      <c r="BO455" s="28"/>
      <c r="BP455" s="28"/>
      <c r="BQ455" s="28"/>
      <c r="BR455" s="28"/>
      <c r="BS455" s="28"/>
      <c r="BT455" s="28"/>
      <c r="BU455" s="28"/>
      <c r="BV455" s="28"/>
      <c r="BW455" s="28"/>
      <c r="BX455" s="28"/>
      <c r="BY455" s="28"/>
      <c r="BZ455" s="28"/>
      <c r="CA455" s="28"/>
      <c r="CB455" s="28"/>
      <c r="CC455" s="28"/>
      <c r="CD455" s="28"/>
      <c r="CE455" s="28"/>
      <c r="CF455" s="28"/>
      <c r="CG455" s="28"/>
    </row>
    <row r="456" spans="1:85" ht="12.75" x14ac:dyDescent="0.2">
      <c r="A456" s="28"/>
      <c r="B456" s="28"/>
      <c r="C456" s="28"/>
      <c r="D456" s="28"/>
      <c r="E456" s="28"/>
      <c r="F456" s="28"/>
      <c r="G456" s="28"/>
      <c r="H456" s="28"/>
      <c r="I456" s="28"/>
      <c r="J456" s="28"/>
      <c r="K456" s="36"/>
      <c r="L456" s="28"/>
      <c r="M456" s="28"/>
      <c r="N456" s="28"/>
      <c r="O456" s="28"/>
      <c r="P456" s="28"/>
      <c r="Q456" s="36"/>
      <c r="R456" s="36"/>
      <c r="S456" s="36"/>
      <c r="T456" s="36"/>
      <c r="U456" s="36"/>
      <c r="V456" s="36"/>
      <c r="W456" s="36"/>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8"/>
      <c r="BW456" s="28"/>
      <c r="BX456" s="28"/>
      <c r="BY456" s="28"/>
      <c r="BZ456" s="28"/>
      <c r="CA456" s="28"/>
      <c r="CB456" s="28"/>
      <c r="CC456" s="28"/>
      <c r="CD456" s="28"/>
      <c r="CE456" s="28"/>
      <c r="CF456" s="28"/>
      <c r="CG456" s="28"/>
    </row>
    <row r="457" spans="1:85" ht="12.75" x14ac:dyDescent="0.2">
      <c r="A457" s="28"/>
      <c r="B457" s="28"/>
      <c r="C457" s="28"/>
      <c r="D457" s="28"/>
      <c r="E457" s="28"/>
      <c r="F457" s="28"/>
      <c r="G457" s="28"/>
      <c r="H457" s="28"/>
      <c r="I457" s="28"/>
      <c r="J457" s="28"/>
      <c r="K457" s="36"/>
      <c r="L457" s="28"/>
      <c r="M457" s="28"/>
      <c r="N457" s="28"/>
      <c r="O457" s="28"/>
      <c r="P457" s="28"/>
      <c r="Q457" s="36"/>
      <c r="R457" s="36"/>
      <c r="S457" s="36"/>
      <c r="T457" s="36"/>
      <c r="U457" s="36"/>
      <c r="V457" s="36"/>
      <c r="W457" s="36"/>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c r="BG457" s="28"/>
      <c r="BH457" s="28"/>
      <c r="BI457" s="28"/>
      <c r="BJ457" s="28"/>
      <c r="BK457" s="28"/>
      <c r="BL457" s="28"/>
      <c r="BM457" s="28"/>
      <c r="BN457" s="28"/>
      <c r="BO457" s="28"/>
      <c r="BP457" s="28"/>
      <c r="BQ457" s="28"/>
      <c r="BR457" s="28"/>
      <c r="BS457" s="28"/>
      <c r="BT457" s="28"/>
      <c r="BU457" s="28"/>
      <c r="BV457" s="28"/>
      <c r="BW457" s="28"/>
      <c r="BX457" s="28"/>
      <c r="BY457" s="28"/>
      <c r="BZ457" s="28"/>
      <c r="CA457" s="28"/>
      <c r="CB457" s="28"/>
      <c r="CC457" s="28"/>
      <c r="CD457" s="28"/>
      <c r="CE457" s="28"/>
      <c r="CF457" s="28"/>
      <c r="CG457" s="28"/>
    </row>
    <row r="458" spans="1:85" ht="12.75" x14ac:dyDescent="0.2">
      <c r="A458" s="28"/>
      <c r="B458" s="28"/>
      <c r="C458" s="28"/>
      <c r="D458" s="28"/>
      <c r="E458" s="28"/>
      <c r="F458" s="28"/>
      <c r="G458" s="28"/>
      <c r="H458" s="28"/>
      <c r="I458" s="28"/>
      <c r="J458" s="28"/>
      <c r="K458" s="36"/>
      <c r="L458" s="28"/>
      <c r="M458" s="28"/>
      <c r="N458" s="28"/>
      <c r="O458" s="28"/>
      <c r="P458" s="28"/>
      <c r="Q458" s="36"/>
      <c r="R458" s="36"/>
      <c r="S458" s="36"/>
      <c r="T458" s="36"/>
      <c r="U458" s="36"/>
      <c r="V458" s="36"/>
      <c r="W458" s="36"/>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c r="BW458" s="28"/>
      <c r="BX458" s="28"/>
      <c r="BY458" s="28"/>
      <c r="BZ458" s="28"/>
      <c r="CA458" s="28"/>
      <c r="CB458" s="28"/>
      <c r="CC458" s="28"/>
      <c r="CD458" s="28"/>
      <c r="CE458" s="28"/>
      <c r="CF458" s="28"/>
      <c r="CG458" s="28"/>
    </row>
    <row r="459" spans="1:85" ht="12.75" x14ac:dyDescent="0.2">
      <c r="A459" s="28"/>
      <c r="B459" s="28"/>
      <c r="C459" s="28"/>
      <c r="D459" s="28"/>
      <c r="E459" s="28"/>
      <c r="F459" s="28"/>
      <c r="G459" s="28"/>
      <c r="H459" s="28"/>
      <c r="I459" s="28"/>
      <c r="J459" s="28"/>
      <c r="K459" s="36"/>
      <c r="L459" s="28"/>
      <c r="M459" s="28"/>
      <c r="N459" s="28"/>
      <c r="O459" s="28"/>
      <c r="P459" s="28"/>
      <c r="Q459" s="36"/>
      <c r="R459" s="36"/>
      <c r="S459" s="36"/>
      <c r="T459" s="36"/>
      <c r="U459" s="36"/>
      <c r="V459" s="36"/>
      <c r="W459" s="36"/>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c r="BG459" s="28"/>
      <c r="BH459" s="28"/>
      <c r="BI459" s="28"/>
      <c r="BJ459" s="28"/>
      <c r="BK459" s="28"/>
      <c r="BL459" s="28"/>
      <c r="BM459" s="28"/>
      <c r="BN459" s="28"/>
      <c r="BO459" s="28"/>
      <c r="BP459" s="28"/>
      <c r="BQ459" s="28"/>
      <c r="BR459" s="28"/>
      <c r="BS459" s="28"/>
      <c r="BT459" s="28"/>
      <c r="BU459" s="28"/>
      <c r="BV459" s="28"/>
      <c r="BW459" s="28"/>
      <c r="BX459" s="28"/>
      <c r="BY459" s="28"/>
      <c r="BZ459" s="28"/>
      <c r="CA459" s="28"/>
      <c r="CB459" s="28"/>
      <c r="CC459" s="28"/>
      <c r="CD459" s="28"/>
      <c r="CE459" s="28"/>
      <c r="CF459" s="28"/>
      <c r="CG459" s="28"/>
    </row>
    <row r="460" spans="1:85" ht="12.75" x14ac:dyDescent="0.2">
      <c r="A460" s="28"/>
      <c r="B460" s="28"/>
      <c r="C460" s="28"/>
      <c r="D460" s="28"/>
      <c r="E460" s="28"/>
      <c r="F460" s="28"/>
      <c r="G460" s="28"/>
      <c r="H460" s="28"/>
      <c r="I460" s="28"/>
      <c r="J460" s="28"/>
      <c r="K460" s="36"/>
      <c r="L460" s="28"/>
      <c r="M460" s="28"/>
      <c r="N460" s="28"/>
      <c r="O460" s="28"/>
      <c r="P460" s="28"/>
      <c r="Q460" s="36"/>
      <c r="R460" s="36"/>
      <c r="S460" s="36"/>
      <c r="T460" s="36"/>
      <c r="U460" s="36"/>
      <c r="V460" s="36"/>
      <c r="W460" s="36"/>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8"/>
      <c r="BW460" s="28"/>
      <c r="BX460" s="28"/>
      <c r="BY460" s="28"/>
      <c r="BZ460" s="28"/>
      <c r="CA460" s="28"/>
      <c r="CB460" s="28"/>
      <c r="CC460" s="28"/>
      <c r="CD460" s="28"/>
      <c r="CE460" s="28"/>
      <c r="CF460" s="28"/>
      <c r="CG460" s="28"/>
    </row>
    <row r="461" spans="1:85" ht="12.75" x14ac:dyDescent="0.2">
      <c r="A461" s="28"/>
      <c r="B461" s="28"/>
      <c r="C461" s="28"/>
      <c r="D461" s="28"/>
      <c r="E461" s="28"/>
      <c r="F461" s="28"/>
      <c r="G461" s="28"/>
      <c r="H461" s="28"/>
      <c r="I461" s="28"/>
      <c r="J461" s="28"/>
      <c r="K461" s="36"/>
      <c r="L461" s="28"/>
      <c r="M461" s="28"/>
      <c r="N461" s="28"/>
      <c r="O461" s="28"/>
      <c r="P461" s="28"/>
      <c r="Q461" s="36"/>
      <c r="R461" s="36"/>
      <c r="S461" s="36"/>
      <c r="T461" s="36"/>
      <c r="U461" s="36"/>
      <c r="V461" s="36"/>
      <c r="W461" s="36"/>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c r="BG461" s="28"/>
      <c r="BH461" s="28"/>
      <c r="BI461" s="28"/>
      <c r="BJ461" s="28"/>
      <c r="BK461" s="28"/>
      <c r="BL461" s="28"/>
      <c r="BM461" s="28"/>
      <c r="BN461" s="28"/>
      <c r="BO461" s="28"/>
      <c r="BP461" s="28"/>
      <c r="BQ461" s="28"/>
      <c r="BR461" s="28"/>
      <c r="BS461" s="28"/>
      <c r="BT461" s="28"/>
      <c r="BU461" s="28"/>
      <c r="BV461" s="28"/>
      <c r="BW461" s="28"/>
      <c r="BX461" s="28"/>
      <c r="BY461" s="28"/>
      <c r="BZ461" s="28"/>
      <c r="CA461" s="28"/>
      <c r="CB461" s="28"/>
      <c r="CC461" s="28"/>
      <c r="CD461" s="28"/>
      <c r="CE461" s="28"/>
      <c r="CF461" s="28"/>
      <c r="CG461" s="28"/>
    </row>
    <row r="462" spans="1:85" ht="12.75" x14ac:dyDescent="0.2">
      <c r="A462" s="28"/>
      <c r="B462" s="28"/>
      <c r="C462" s="28"/>
      <c r="D462" s="28"/>
      <c r="E462" s="28"/>
      <c r="F462" s="28"/>
      <c r="G462" s="28"/>
      <c r="H462" s="28"/>
      <c r="I462" s="28"/>
      <c r="J462" s="28"/>
      <c r="K462" s="36"/>
      <c r="L462" s="28"/>
      <c r="M462" s="28"/>
      <c r="N462" s="28"/>
      <c r="O462" s="28"/>
      <c r="P462" s="28"/>
      <c r="Q462" s="36"/>
      <c r="R462" s="36"/>
      <c r="S462" s="36"/>
      <c r="T462" s="36"/>
      <c r="U462" s="36"/>
      <c r="V462" s="36"/>
      <c r="W462" s="36"/>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8"/>
      <c r="BW462" s="28"/>
      <c r="BX462" s="28"/>
      <c r="BY462" s="28"/>
      <c r="BZ462" s="28"/>
      <c r="CA462" s="28"/>
      <c r="CB462" s="28"/>
      <c r="CC462" s="28"/>
      <c r="CD462" s="28"/>
      <c r="CE462" s="28"/>
      <c r="CF462" s="28"/>
      <c r="CG462" s="28"/>
    </row>
    <row r="463" spans="1:85" ht="12.75" x14ac:dyDescent="0.2">
      <c r="A463" s="28"/>
      <c r="B463" s="28"/>
      <c r="C463" s="28"/>
      <c r="D463" s="28"/>
      <c r="E463" s="28"/>
      <c r="F463" s="28"/>
      <c r="G463" s="28"/>
      <c r="H463" s="28"/>
      <c r="I463" s="28"/>
      <c r="J463" s="28"/>
      <c r="K463" s="36"/>
      <c r="L463" s="28"/>
      <c r="M463" s="28"/>
      <c r="N463" s="28"/>
      <c r="O463" s="28"/>
      <c r="P463" s="28"/>
      <c r="Q463" s="36"/>
      <c r="R463" s="36"/>
      <c r="S463" s="36"/>
      <c r="T463" s="36"/>
      <c r="U463" s="36"/>
      <c r="V463" s="36"/>
      <c r="W463" s="36"/>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c r="BF463" s="28"/>
      <c r="BG463" s="28"/>
      <c r="BH463" s="28"/>
      <c r="BI463" s="28"/>
      <c r="BJ463" s="28"/>
      <c r="BK463" s="28"/>
      <c r="BL463" s="28"/>
      <c r="BM463" s="28"/>
      <c r="BN463" s="28"/>
      <c r="BO463" s="28"/>
      <c r="BP463" s="28"/>
      <c r="BQ463" s="28"/>
      <c r="BR463" s="28"/>
      <c r="BS463" s="28"/>
      <c r="BT463" s="28"/>
      <c r="BU463" s="28"/>
      <c r="BV463" s="28"/>
      <c r="BW463" s="28"/>
      <c r="BX463" s="28"/>
      <c r="BY463" s="28"/>
      <c r="BZ463" s="28"/>
      <c r="CA463" s="28"/>
      <c r="CB463" s="28"/>
      <c r="CC463" s="28"/>
      <c r="CD463" s="28"/>
      <c r="CE463" s="28"/>
      <c r="CF463" s="28"/>
      <c r="CG463" s="28"/>
    </row>
    <row r="464" spans="1:85" ht="12.75" x14ac:dyDescent="0.2">
      <c r="A464" s="28"/>
      <c r="B464" s="28"/>
      <c r="C464" s="28"/>
      <c r="D464" s="28"/>
      <c r="E464" s="28"/>
      <c r="F464" s="28"/>
      <c r="G464" s="28"/>
      <c r="H464" s="28"/>
      <c r="I464" s="28"/>
      <c r="J464" s="28"/>
      <c r="K464" s="36"/>
      <c r="L464" s="28"/>
      <c r="M464" s="28"/>
      <c r="N464" s="28"/>
      <c r="O464" s="28"/>
      <c r="P464" s="28"/>
      <c r="Q464" s="36"/>
      <c r="R464" s="36"/>
      <c r="S464" s="36"/>
      <c r="T464" s="36"/>
      <c r="U464" s="36"/>
      <c r="V464" s="36"/>
      <c r="W464" s="36"/>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8"/>
      <c r="BW464" s="28"/>
      <c r="BX464" s="28"/>
      <c r="BY464" s="28"/>
      <c r="BZ464" s="28"/>
      <c r="CA464" s="28"/>
      <c r="CB464" s="28"/>
      <c r="CC464" s="28"/>
      <c r="CD464" s="28"/>
      <c r="CE464" s="28"/>
      <c r="CF464" s="28"/>
      <c r="CG464" s="28"/>
    </row>
    <row r="465" spans="1:85" ht="12.75" x14ac:dyDescent="0.2">
      <c r="A465" s="28"/>
      <c r="B465" s="28"/>
      <c r="C465" s="28"/>
      <c r="D465" s="28"/>
      <c r="E465" s="28"/>
      <c r="F465" s="28"/>
      <c r="G465" s="28"/>
      <c r="H465" s="28"/>
      <c r="I465" s="28"/>
      <c r="J465" s="28"/>
      <c r="K465" s="36"/>
      <c r="L465" s="28"/>
      <c r="M465" s="28"/>
      <c r="N465" s="28"/>
      <c r="O465" s="28"/>
      <c r="P465" s="28"/>
      <c r="Q465" s="36"/>
      <c r="R465" s="36"/>
      <c r="S465" s="36"/>
      <c r="T465" s="36"/>
      <c r="U465" s="36"/>
      <c r="V465" s="36"/>
      <c r="W465" s="36"/>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c r="BF465" s="28"/>
      <c r="BG465" s="28"/>
      <c r="BH465" s="28"/>
      <c r="BI465" s="28"/>
      <c r="BJ465" s="28"/>
      <c r="BK465" s="28"/>
      <c r="BL465" s="28"/>
      <c r="BM465" s="28"/>
      <c r="BN465" s="28"/>
      <c r="BO465" s="28"/>
      <c r="BP465" s="28"/>
      <c r="BQ465" s="28"/>
      <c r="BR465" s="28"/>
      <c r="BS465" s="28"/>
      <c r="BT465" s="28"/>
      <c r="BU465" s="28"/>
      <c r="BV465" s="28"/>
      <c r="BW465" s="28"/>
      <c r="BX465" s="28"/>
      <c r="BY465" s="28"/>
      <c r="BZ465" s="28"/>
      <c r="CA465" s="28"/>
      <c r="CB465" s="28"/>
      <c r="CC465" s="28"/>
      <c r="CD465" s="28"/>
      <c r="CE465" s="28"/>
      <c r="CF465" s="28"/>
      <c r="CG465" s="28"/>
    </row>
    <row r="466" spans="1:85" ht="12.75" x14ac:dyDescent="0.2">
      <c r="A466" s="28"/>
      <c r="B466" s="28"/>
      <c r="C466" s="28"/>
      <c r="D466" s="28"/>
      <c r="E466" s="28"/>
      <c r="F466" s="28"/>
      <c r="G466" s="28"/>
      <c r="H466" s="28"/>
      <c r="I466" s="28"/>
      <c r="J466" s="28"/>
      <c r="K466" s="36"/>
      <c r="L466" s="28"/>
      <c r="M466" s="28"/>
      <c r="N466" s="28"/>
      <c r="O466" s="28"/>
      <c r="P466" s="28"/>
      <c r="Q466" s="36"/>
      <c r="R466" s="36"/>
      <c r="S466" s="36"/>
      <c r="T466" s="36"/>
      <c r="U466" s="36"/>
      <c r="V466" s="36"/>
      <c r="W466" s="36"/>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8"/>
      <c r="BW466" s="28"/>
      <c r="BX466" s="28"/>
      <c r="BY466" s="28"/>
      <c r="BZ466" s="28"/>
      <c r="CA466" s="28"/>
      <c r="CB466" s="28"/>
      <c r="CC466" s="28"/>
      <c r="CD466" s="28"/>
      <c r="CE466" s="28"/>
      <c r="CF466" s="28"/>
      <c r="CG466" s="28"/>
    </row>
    <row r="467" spans="1:85" ht="12.75" x14ac:dyDescent="0.2">
      <c r="A467" s="28"/>
      <c r="B467" s="28"/>
      <c r="C467" s="28"/>
      <c r="D467" s="28"/>
      <c r="E467" s="28"/>
      <c r="F467" s="28"/>
      <c r="G467" s="28"/>
      <c r="H467" s="28"/>
      <c r="I467" s="28"/>
      <c r="J467" s="28"/>
      <c r="K467" s="36"/>
      <c r="L467" s="28"/>
      <c r="M467" s="28"/>
      <c r="N467" s="28"/>
      <c r="O467" s="28"/>
      <c r="P467" s="28"/>
      <c r="Q467" s="36"/>
      <c r="R467" s="36"/>
      <c r="S467" s="36"/>
      <c r="T467" s="36"/>
      <c r="U467" s="36"/>
      <c r="V467" s="36"/>
      <c r="W467" s="36"/>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c r="BG467" s="28"/>
      <c r="BH467" s="28"/>
      <c r="BI467" s="28"/>
      <c r="BJ467" s="28"/>
      <c r="BK467" s="28"/>
      <c r="BL467" s="28"/>
      <c r="BM467" s="28"/>
      <c r="BN467" s="28"/>
      <c r="BO467" s="28"/>
      <c r="BP467" s="28"/>
      <c r="BQ467" s="28"/>
      <c r="BR467" s="28"/>
      <c r="BS467" s="28"/>
      <c r="BT467" s="28"/>
      <c r="BU467" s="28"/>
      <c r="BV467" s="28"/>
      <c r="BW467" s="28"/>
      <c r="BX467" s="28"/>
      <c r="BY467" s="28"/>
      <c r="BZ467" s="28"/>
      <c r="CA467" s="28"/>
      <c r="CB467" s="28"/>
      <c r="CC467" s="28"/>
      <c r="CD467" s="28"/>
      <c r="CE467" s="28"/>
      <c r="CF467" s="28"/>
      <c r="CG467" s="28"/>
    </row>
    <row r="468" spans="1:85" ht="12.75" x14ac:dyDescent="0.2">
      <c r="A468" s="28"/>
      <c r="B468" s="28"/>
      <c r="C468" s="28"/>
      <c r="D468" s="28"/>
      <c r="E468" s="28"/>
      <c r="F468" s="28"/>
      <c r="G468" s="28"/>
      <c r="H468" s="28"/>
      <c r="I468" s="28"/>
      <c r="J468" s="28"/>
      <c r="K468" s="36"/>
      <c r="L468" s="28"/>
      <c r="M468" s="28"/>
      <c r="N468" s="28"/>
      <c r="O468" s="28"/>
      <c r="P468" s="28"/>
      <c r="Q468" s="36"/>
      <c r="R468" s="36"/>
      <c r="S468" s="36"/>
      <c r="T468" s="36"/>
      <c r="U468" s="36"/>
      <c r="V468" s="36"/>
      <c r="W468" s="36"/>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8"/>
      <c r="BW468" s="28"/>
      <c r="BX468" s="28"/>
      <c r="BY468" s="28"/>
      <c r="BZ468" s="28"/>
      <c r="CA468" s="28"/>
      <c r="CB468" s="28"/>
      <c r="CC468" s="28"/>
      <c r="CD468" s="28"/>
      <c r="CE468" s="28"/>
      <c r="CF468" s="28"/>
      <c r="CG468" s="28"/>
    </row>
    <row r="469" spans="1:85" ht="12.75" x14ac:dyDescent="0.2">
      <c r="A469" s="28"/>
      <c r="B469" s="28"/>
      <c r="C469" s="28"/>
      <c r="D469" s="28"/>
      <c r="E469" s="28"/>
      <c r="F469" s="28"/>
      <c r="G469" s="28"/>
      <c r="H469" s="28"/>
      <c r="I469" s="28"/>
      <c r="J469" s="28"/>
      <c r="K469" s="36"/>
      <c r="L469" s="28"/>
      <c r="M469" s="28"/>
      <c r="N469" s="28"/>
      <c r="O469" s="28"/>
      <c r="P469" s="28"/>
      <c r="Q469" s="36"/>
      <c r="R469" s="36"/>
      <c r="S469" s="36"/>
      <c r="T469" s="36"/>
      <c r="U469" s="36"/>
      <c r="V469" s="36"/>
      <c r="W469" s="36"/>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c r="BF469" s="28"/>
      <c r="BG469" s="28"/>
      <c r="BH469" s="28"/>
      <c r="BI469" s="28"/>
      <c r="BJ469" s="28"/>
      <c r="BK469" s="28"/>
      <c r="BL469" s="28"/>
      <c r="BM469" s="28"/>
      <c r="BN469" s="28"/>
      <c r="BO469" s="28"/>
      <c r="BP469" s="28"/>
      <c r="BQ469" s="28"/>
      <c r="BR469" s="28"/>
      <c r="BS469" s="28"/>
      <c r="BT469" s="28"/>
      <c r="BU469" s="28"/>
      <c r="BV469" s="28"/>
      <c r="BW469" s="28"/>
      <c r="BX469" s="28"/>
      <c r="BY469" s="28"/>
      <c r="BZ469" s="28"/>
      <c r="CA469" s="28"/>
      <c r="CB469" s="28"/>
      <c r="CC469" s="28"/>
      <c r="CD469" s="28"/>
      <c r="CE469" s="28"/>
      <c r="CF469" s="28"/>
      <c r="CG469" s="28"/>
    </row>
    <row r="470" spans="1:85" ht="12.75" x14ac:dyDescent="0.2">
      <c r="A470" s="28"/>
      <c r="B470" s="28"/>
      <c r="C470" s="28"/>
      <c r="D470" s="28"/>
      <c r="E470" s="28"/>
      <c r="F470" s="28"/>
      <c r="G470" s="28"/>
      <c r="H470" s="28"/>
      <c r="I470" s="28"/>
      <c r="J470" s="28"/>
      <c r="K470" s="36"/>
      <c r="L470" s="28"/>
      <c r="M470" s="28"/>
      <c r="N470" s="28"/>
      <c r="O470" s="28"/>
      <c r="P470" s="28"/>
      <c r="Q470" s="36"/>
      <c r="R470" s="36"/>
      <c r="S470" s="36"/>
      <c r="T470" s="36"/>
      <c r="U470" s="36"/>
      <c r="V470" s="36"/>
      <c r="W470" s="36"/>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8"/>
      <c r="BW470" s="28"/>
      <c r="BX470" s="28"/>
      <c r="BY470" s="28"/>
      <c r="BZ470" s="28"/>
      <c r="CA470" s="28"/>
      <c r="CB470" s="28"/>
      <c r="CC470" s="28"/>
      <c r="CD470" s="28"/>
      <c r="CE470" s="28"/>
      <c r="CF470" s="28"/>
      <c r="CG470" s="28"/>
    </row>
    <row r="471" spans="1:85" ht="12.75" x14ac:dyDescent="0.2">
      <c r="A471" s="28"/>
      <c r="B471" s="28"/>
      <c r="C471" s="28"/>
      <c r="D471" s="28"/>
      <c r="E471" s="28"/>
      <c r="F471" s="28"/>
      <c r="G471" s="28"/>
      <c r="H471" s="28"/>
      <c r="I471" s="28"/>
      <c r="J471" s="28"/>
      <c r="K471" s="36"/>
      <c r="L471" s="28"/>
      <c r="M471" s="28"/>
      <c r="N471" s="28"/>
      <c r="O471" s="28"/>
      <c r="P471" s="28"/>
      <c r="Q471" s="36"/>
      <c r="R471" s="36"/>
      <c r="S471" s="36"/>
      <c r="T471" s="36"/>
      <c r="U471" s="36"/>
      <c r="V471" s="36"/>
      <c r="W471" s="36"/>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c r="BF471" s="28"/>
      <c r="BG471" s="28"/>
      <c r="BH471" s="28"/>
      <c r="BI471" s="28"/>
      <c r="BJ471" s="28"/>
      <c r="BK471" s="28"/>
      <c r="BL471" s="28"/>
      <c r="BM471" s="28"/>
      <c r="BN471" s="28"/>
      <c r="BO471" s="28"/>
      <c r="BP471" s="28"/>
      <c r="BQ471" s="28"/>
      <c r="BR471" s="28"/>
      <c r="BS471" s="28"/>
      <c r="BT471" s="28"/>
      <c r="BU471" s="28"/>
      <c r="BV471" s="28"/>
      <c r="BW471" s="28"/>
      <c r="BX471" s="28"/>
      <c r="BY471" s="28"/>
      <c r="BZ471" s="28"/>
      <c r="CA471" s="28"/>
      <c r="CB471" s="28"/>
      <c r="CC471" s="28"/>
      <c r="CD471" s="28"/>
      <c r="CE471" s="28"/>
      <c r="CF471" s="28"/>
      <c r="CG471" s="28"/>
    </row>
    <row r="472" spans="1:85" ht="12.75" x14ac:dyDescent="0.2">
      <c r="A472" s="28"/>
      <c r="B472" s="28"/>
      <c r="C472" s="28"/>
      <c r="D472" s="28"/>
      <c r="E472" s="28"/>
      <c r="F472" s="28"/>
      <c r="G472" s="28"/>
      <c r="H472" s="28"/>
      <c r="I472" s="28"/>
      <c r="J472" s="28"/>
      <c r="K472" s="36"/>
      <c r="L472" s="28"/>
      <c r="M472" s="28"/>
      <c r="N472" s="28"/>
      <c r="O472" s="28"/>
      <c r="P472" s="28"/>
      <c r="Q472" s="36"/>
      <c r="R472" s="36"/>
      <c r="S472" s="36"/>
      <c r="T472" s="36"/>
      <c r="U472" s="36"/>
      <c r="V472" s="36"/>
      <c r="W472" s="36"/>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8"/>
      <c r="BW472" s="28"/>
      <c r="BX472" s="28"/>
      <c r="BY472" s="28"/>
      <c r="BZ472" s="28"/>
      <c r="CA472" s="28"/>
      <c r="CB472" s="28"/>
      <c r="CC472" s="28"/>
      <c r="CD472" s="28"/>
      <c r="CE472" s="28"/>
      <c r="CF472" s="28"/>
      <c r="CG472" s="28"/>
    </row>
    <row r="473" spans="1:85" ht="12.75" x14ac:dyDescent="0.2">
      <c r="A473" s="28"/>
      <c r="B473" s="28"/>
      <c r="C473" s="28"/>
      <c r="D473" s="28"/>
      <c r="E473" s="28"/>
      <c r="F473" s="28"/>
      <c r="G473" s="28"/>
      <c r="H473" s="28"/>
      <c r="I473" s="28"/>
      <c r="J473" s="28"/>
      <c r="K473" s="36"/>
      <c r="L473" s="28"/>
      <c r="M473" s="28"/>
      <c r="N473" s="28"/>
      <c r="O473" s="28"/>
      <c r="P473" s="28"/>
      <c r="Q473" s="36"/>
      <c r="R473" s="36"/>
      <c r="S473" s="36"/>
      <c r="T473" s="36"/>
      <c r="U473" s="36"/>
      <c r="V473" s="36"/>
      <c r="W473" s="36"/>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c r="BF473" s="28"/>
      <c r="BG473" s="28"/>
      <c r="BH473" s="28"/>
      <c r="BI473" s="28"/>
      <c r="BJ473" s="28"/>
      <c r="BK473" s="28"/>
      <c r="BL473" s="28"/>
      <c r="BM473" s="28"/>
      <c r="BN473" s="28"/>
      <c r="BO473" s="28"/>
      <c r="BP473" s="28"/>
      <c r="BQ473" s="28"/>
      <c r="BR473" s="28"/>
      <c r="BS473" s="28"/>
      <c r="BT473" s="28"/>
      <c r="BU473" s="28"/>
      <c r="BV473" s="28"/>
      <c r="BW473" s="28"/>
      <c r="BX473" s="28"/>
      <c r="BY473" s="28"/>
      <c r="BZ473" s="28"/>
      <c r="CA473" s="28"/>
      <c r="CB473" s="28"/>
      <c r="CC473" s="28"/>
      <c r="CD473" s="28"/>
      <c r="CE473" s="28"/>
      <c r="CF473" s="28"/>
      <c r="CG473" s="28"/>
    </row>
    <row r="474" spans="1:85" ht="12.75" x14ac:dyDescent="0.2">
      <c r="A474" s="28"/>
      <c r="B474" s="28"/>
      <c r="C474" s="28"/>
      <c r="D474" s="28"/>
      <c r="E474" s="28"/>
      <c r="F474" s="28"/>
      <c r="G474" s="28"/>
      <c r="H474" s="28"/>
      <c r="I474" s="28"/>
      <c r="J474" s="28"/>
      <c r="K474" s="36"/>
      <c r="L474" s="28"/>
      <c r="M474" s="28"/>
      <c r="N474" s="28"/>
      <c r="O474" s="28"/>
      <c r="P474" s="28"/>
      <c r="Q474" s="36"/>
      <c r="R474" s="36"/>
      <c r="S474" s="36"/>
      <c r="T474" s="36"/>
      <c r="U474" s="36"/>
      <c r="V474" s="36"/>
      <c r="W474" s="36"/>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8"/>
      <c r="BW474" s="28"/>
      <c r="BX474" s="28"/>
      <c r="BY474" s="28"/>
      <c r="BZ474" s="28"/>
      <c r="CA474" s="28"/>
      <c r="CB474" s="28"/>
      <c r="CC474" s="28"/>
      <c r="CD474" s="28"/>
      <c r="CE474" s="28"/>
      <c r="CF474" s="28"/>
      <c r="CG474" s="28"/>
    </row>
    <row r="475" spans="1:85" ht="12.75" x14ac:dyDescent="0.2">
      <c r="A475" s="28"/>
      <c r="B475" s="28"/>
      <c r="C475" s="28"/>
      <c r="D475" s="28"/>
      <c r="E475" s="28"/>
      <c r="F475" s="28"/>
      <c r="G475" s="28"/>
      <c r="H475" s="28"/>
      <c r="I475" s="28"/>
      <c r="J475" s="28"/>
      <c r="K475" s="36"/>
      <c r="L475" s="28"/>
      <c r="M475" s="28"/>
      <c r="N475" s="28"/>
      <c r="O475" s="28"/>
      <c r="P475" s="28"/>
      <c r="Q475" s="36"/>
      <c r="R475" s="36"/>
      <c r="S475" s="36"/>
      <c r="T475" s="36"/>
      <c r="U475" s="36"/>
      <c r="V475" s="36"/>
      <c r="W475" s="36"/>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c r="BF475" s="28"/>
      <c r="BG475" s="28"/>
      <c r="BH475" s="28"/>
      <c r="BI475" s="28"/>
      <c r="BJ475" s="28"/>
      <c r="BK475" s="28"/>
      <c r="BL475" s="28"/>
      <c r="BM475" s="28"/>
      <c r="BN475" s="28"/>
      <c r="BO475" s="28"/>
      <c r="BP475" s="28"/>
      <c r="BQ475" s="28"/>
      <c r="BR475" s="28"/>
      <c r="BS475" s="28"/>
      <c r="BT475" s="28"/>
      <c r="BU475" s="28"/>
      <c r="BV475" s="28"/>
      <c r="BW475" s="28"/>
      <c r="BX475" s="28"/>
      <c r="BY475" s="28"/>
      <c r="BZ475" s="28"/>
      <c r="CA475" s="28"/>
      <c r="CB475" s="28"/>
      <c r="CC475" s="28"/>
      <c r="CD475" s="28"/>
      <c r="CE475" s="28"/>
      <c r="CF475" s="28"/>
      <c r="CG475" s="28"/>
    </row>
    <row r="476" spans="1:85" ht="12.75" x14ac:dyDescent="0.2">
      <c r="A476" s="28"/>
      <c r="B476" s="28"/>
      <c r="C476" s="28"/>
      <c r="D476" s="28"/>
      <c r="E476" s="28"/>
      <c r="F476" s="28"/>
      <c r="G476" s="28"/>
      <c r="H476" s="28"/>
      <c r="I476" s="28"/>
      <c r="J476" s="28"/>
      <c r="K476" s="36"/>
      <c r="L476" s="28"/>
      <c r="M476" s="28"/>
      <c r="N476" s="28"/>
      <c r="O476" s="28"/>
      <c r="P476" s="28"/>
      <c r="Q476" s="36"/>
      <c r="R476" s="36"/>
      <c r="S476" s="36"/>
      <c r="T476" s="36"/>
      <c r="U476" s="36"/>
      <c r="V476" s="36"/>
      <c r="W476" s="36"/>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8"/>
      <c r="BW476" s="28"/>
      <c r="BX476" s="28"/>
      <c r="BY476" s="28"/>
      <c r="BZ476" s="28"/>
      <c r="CA476" s="28"/>
      <c r="CB476" s="28"/>
      <c r="CC476" s="28"/>
      <c r="CD476" s="28"/>
      <c r="CE476" s="28"/>
      <c r="CF476" s="28"/>
      <c r="CG476" s="28"/>
    </row>
    <row r="477" spans="1:85" ht="12.75" x14ac:dyDescent="0.2">
      <c r="A477" s="28"/>
      <c r="B477" s="28"/>
      <c r="C477" s="28"/>
      <c r="D477" s="28"/>
      <c r="E477" s="28"/>
      <c r="F477" s="28"/>
      <c r="G477" s="28"/>
      <c r="H477" s="28"/>
      <c r="I477" s="28"/>
      <c r="J477" s="28"/>
      <c r="K477" s="36"/>
      <c r="L477" s="28"/>
      <c r="M477" s="28"/>
      <c r="N477" s="28"/>
      <c r="O477" s="28"/>
      <c r="P477" s="28"/>
      <c r="Q477" s="36"/>
      <c r="R477" s="36"/>
      <c r="S477" s="36"/>
      <c r="T477" s="36"/>
      <c r="U477" s="36"/>
      <c r="V477" s="36"/>
      <c r="W477" s="36"/>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c r="BG477" s="28"/>
      <c r="BH477" s="28"/>
      <c r="BI477" s="28"/>
      <c r="BJ477" s="28"/>
      <c r="BK477" s="28"/>
      <c r="BL477" s="28"/>
      <c r="BM477" s="28"/>
      <c r="BN477" s="28"/>
      <c r="BO477" s="28"/>
      <c r="BP477" s="28"/>
      <c r="BQ477" s="28"/>
      <c r="BR477" s="28"/>
      <c r="BS477" s="28"/>
      <c r="BT477" s="28"/>
      <c r="BU477" s="28"/>
      <c r="BV477" s="28"/>
      <c r="BW477" s="28"/>
      <c r="BX477" s="28"/>
      <c r="BY477" s="28"/>
      <c r="BZ477" s="28"/>
      <c r="CA477" s="28"/>
      <c r="CB477" s="28"/>
      <c r="CC477" s="28"/>
      <c r="CD477" s="28"/>
      <c r="CE477" s="28"/>
      <c r="CF477" s="28"/>
      <c r="CG477" s="28"/>
    </row>
    <row r="478" spans="1:85" ht="12.75" x14ac:dyDescent="0.2">
      <c r="A478" s="28"/>
      <c r="B478" s="28"/>
      <c r="C478" s="28"/>
      <c r="D478" s="28"/>
      <c r="E478" s="28"/>
      <c r="F478" s="28"/>
      <c r="G478" s="28"/>
      <c r="H478" s="28"/>
      <c r="I478" s="28"/>
      <c r="J478" s="28"/>
      <c r="K478" s="36"/>
      <c r="L478" s="28"/>
      <c r="M478" s="28"/>
      <c r="N478" s="28"/>
      <c r="O478" s="28"/>
      <c r="P478" s="28"/>
      <c r="Q478" s="36"/>
      <c r="R478" s="36"/>
      <c r="S478" s="36"/>
      <c r="T478" s="36"/>
      <c r="U478" s="36"/>
      <c r="V478" s="36"/>
      <c r="W478" s="36"/>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8"/>
      <c r="BW478" s="28"/>
      <c r="BX478" s="28"/>
      <c r="BY478" s="28"/>
      <c r="BZ478" s="28"/>
      <c r="CA478" s="28"/>
      <c r="CB478" s="28"/>
      <c r="CC478" s="28"/>
      <c r="CD478" s="28"/>
      <c r="CE478" s="28"/>
      <c r="CF478" s="28"/>
      <c r="CG478" s="28"/>
    </row>
    <row r="479" spans="1:85" ht="12.75" x14ac:dyDescent="0.2">
      <c r="A479" s="28"/>
      <c r="B479" s="28"/>
      <c r="C479" s="28"/>
      <c r="D479" s="28"/>
      <c r="E479" s="28"/>
      <c r="F479" s="28"/>
      <c r="G479" s="28"/>
      <c r="H479" s="28"/>
      <c r="I479" s="28"/>
      <c r="J479" s="28"/>
      <c r="K479" s="36"/>
      <c r="L479" s="28"/>
      <c r="M479" s="28"/>
      <c r="N479" s="28"/>
      <c r="O479" s="28"/>
      <c r="P479" s="28"/>
      <c r="Q479" s="36"/>
      <c r="R479" s="36"/>
      <c r="S479" s="36"/>
      <c r="T479" s="36"/>
      <c r="U479" s="36"/>
      <c r="V479" s="36"/>
      <c r="W479" s="36"/>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c r="BG479" s="28"/>
      <c r="BH479" s="28"/>
      <c r="BI479" s="28"/>
      <c r="BJ479" s="28"/>
      <c r="BK479" s="28"/>
      <c r="BL479" s="28"/>
      <c r="BM479" s="28"/>
      <c r="BN479" s="28"/>
      <c r="BO479" s="28"/>
      <c r="BP479" s="28"/>
      <c r="BQ479" s="28"/>
      <c r="BR479" s="28"/>
      <c r="BS479" s="28"/>
      <c r="BT479" s="28"/>
      <c r="BU479" s="28"/>
      <c r="BV479" s="28"/>
      <c r="BW479" s="28"/>
      <c r="BX479" s="28"/>
      <c r="BY479" s="28"/>
      <c r="BZ479" s="28"/>
      <c r="CA479" s="28"/>
      <c r="CB479" s="28"/>
      <c r="CC479" s="28"/>
      <c r="CD479" s="28"/>
      <c r="CE479" s="28"/>
      <c r="CF479" s="28"/>
      <c r="CG479" s="28"/>
    </row>
    <row r="480" spans="1:85" ht="12.75" x14ac:dyDescent="0.2">
      <c r="A480" s="28"/>
      <c r="B480" s="28"/>
      <c r="C480" s="28"/>
      <c r="D480" s="28"/>
      <c r="E480" s="28"/>
      <c r="F480" s="28"/>
      <c r="G480" s="28"/>
      <c r="H480" s="28"/>
      <c r="I480" s="28"/>
      <c r="J480" s="28"/>
      <c r="K480" s="36"/>
      <c r="L480" s="28"/>
      <c r="M480" s="28"/>
      <c r="N480" s="28"/>
      <c r="O480" s="28"/>
      <c r="P480" s="28"/>
      <c r="Q480" s="36"/>
      <c r="R480" s="36"/>
      <c r="S480" s="36"/>
      <c r="T480" s="36"/>
      <c r="U480" s="36"/>
      <c r="V480" s="36"/>
      <c r="W480" s="36"/>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8"/>
      <c r="BW480" s="28"/>
      <c r="BX480" s="28"/>
      <c r="BY480" s="28"/>
      <c r="BZ480" s="28"/>
      <c r="CA480" s="28"/>
      <c r="CB480" s="28"/>
      <c r="CC480" s="28"/>
      <c r="CD480" s="28"/>
      <c r="CE480" s="28"/>
      <c r="CF480" s="28"/>
      <c r="CG480" s="28"/>
    </row>
    <row r="481" spans="1:85" ht="12.75" x14ac:dyDescent="0.2">
      <c r="A481" s="28"/>
      <c r="B481" s="28"/>
      <c r="C481" s="28"/>
      <c r="D481" s="28"/>
      <c r="E481" s="28"/>
      <c r="F481" s="28"/>
      <c r="G481" s="28"/>
      <c r="H481" s="28"/>
      <c r="I481" s="28"/>
      <c r="J481" s="28"/>
      <c r="K481" s="36"/>
      <c r="L481" s="28"/>
      <c r="M481" s="28"/>
      <c r="N481" s="28"/>
      <c r="O481" s="28"/>
      <c r="P481" s="28"/>
      <c r="Q481" s="36"/>
      <c r="R481" s="36"/>
      <c r="S481" s="36"/>
      <c r="T481" s="36"/>
      <c r="U481" s="36"/>
      <c r="V481" s="36"/>
      <c r="W481" s="36"/>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c r="BF481" s="28"/>
      <c r="BG481" s="28"/>
      <c r="BH481" s="28"/>
      <c r="BI481" s="28"/>
      <c r="BJ481" s="28"/>
      <c r="BK481" s="28"/>
      <c r="BL481" s="28"/>
      <c r="BM481" s="28"/>
      <c r="BN481" s="28"/>
      <c r="BO481" s="28"/>
      <c r="BP481" s="28"/>
      <c r="BQ481" s="28"/>
      <c r="BR481" s="28"/>
      <c r="BS481" s="28"/>
      <c r="BT481" s="28"/>
      <c r="BU481" s="28"/>
      <c r="BV481" s="28"/>
      <c r="BW481" s="28"/>
      <c r="BX481" s="28"/>
      <c r="BY481" s="28"/>
      <c r="BZ481" s="28"/>
      <c r="CA481" s="28"/>
      <c r="CB481" s="28"/>
      <c r="CC481" s="28"/>
      <c r="CD481" s="28"/>
      <c r="CE481" s="28"/>
      <c r="CF481" s="28"/>
      <c r="CG481" s="28"/>
    </row>
    <row r="482" spans="1:85" ht="12.75" x14ac:dyDescent="0.2">
      <c r="A482" s="28"/>
      <c r="B482" s="28"/>
      <c r="C482" s="28"/>
      <c r="D482" s="28"/>
      <c r="E482" s="28"/>
      <c r="F482" s="28"/>
      <c r="G482" s="28"/>
      <c r="H482" s="28"/>
      <c r="I482" s="28"/>
      <c r="J482" s="28"/>
      <c r="K482" s="36"/>
      <c r="L482" s="28"/>
      <c r="M482" s="28"/>
      <c r="N482" s="28"/>
      <c r="O482" s="28"/>
      <c r="P482" s="28"/>
      <c r="Q482" s="36"/>
      <c r="R482" s="36"/>
      <c r="S482" s="36"/>
      <c r="T482" s="36"/>
      <c r="U482" s="36"/>
      <c r="V482" s="36"/>
      <c r="W482" s="36"/>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8"/>
      <c r="BW482" s="28"/>
      <c r="BX482" s="28"/>
      <c r="BY482" s="28"/>
      <c r="BZ482" s="28"/>
      <c r="CA482" s="28"/>
      <c r="CB482" s="28"/>
      <c r="CC482" s="28"/>
      <c r="CD482" s="28"/>
      <c r="CE482" s="28"/>
      <c r="CF482" s="28"/>
      <c r="CG482" s="28"/>
    </row>
    <row r="483" spans="1:85" ht="12.75" x14ac:dyDescent="0.2">
      <c r="A483" s="28"/>
      <c r="B483" s="28"/>
      <c r="C483" s="28"/>
      <c r="D483" s="28"/>
      <c r="E483" s="28"/>
      <c r="F483" s="28"/>
      <c r="G483" s="28"/>
      <c r="H483" s="28"/>
      <c r="I483" s="28"/>
      <c r="J483" s="28"/>
      <c r="K483" s="36"/>
      <c r="L483" s="28"/>
      <c r="M483" s="28"/>
      <c r="N483" s="28"/>
      <c r="O483" s="28"/>
      <c r="P483" s="28"/>
      <c r="Q483" s="36"/>
      <c r="R483" s="36"/>
      <c r="S483" s="36"/>
      <c r="T483" s="36"/>
      <c r="U483" s="36"/>
      <c r="V483" s="36"/>
      <c r="W483" s="36"/>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c r="BE483" s="28"/>
      <c r="BF483" s="28"/>
      <c r="BG483" s="28"/>
      <c r="BH483" s="28"/>
      <c r="BI483" s="28"/>
      <c r="BJ483" s="28"/>
      <c r="BK483" s="28"/>
      <c r="BL483" s="28"/>
      <c r="BM483" s="28"/>
      <c r="BN483" s="28"/>
      <c r="BO483" s="28"/>
      <c r="BP483" s="28"/>
      <c r="BQ483" s="28"/>
      <c r="BR483" s="28"/>
      <c r="BS483" s="28"/>
      <c r="BT483" s="28"/>
      <c r="BU483" s="28"/>
      <c r="BV483" s="28"/>
      <c r="BW483" s="28"/>
      <c r="BX483" s="28"/>
      <c r="BY483" s="28"/>
      <c r="BZ483" s="28"/>
      <c r="CA483" s="28"/>
      <c r="CB483" s="28"/>
      <c r="CC483" s="28"/>
      <c r="CD483" s="28"/>
      <c r="CE483" s="28"/>
      <c r="CF483" s="28"/>
      <c r="CG483" s="28"/>
    </row>
    <row r="484" spans="1:85" ht="12.75" x14ac:dyDescent="0.2">
      <c r="A484" s="28"/>
      <c r="B484" s="28"/>
      <c r="C484" s="28"/>
      <c r="D484" s="28"/>
      <c r="E484" s="28"/>
      <c r="F484" s="28"/>
      <c r="G484" s="28"/>
      <c r="H484" s="28"/>
      <c r="I484" s="28"/>
      <c r="J484" s="28"/>
      <c r="K484" s="36"/>
      <c r="L484" s="28"/>
      <c r="M484" s="28"/>
      <c r="N484" s="28"/>
      <c r="O484" s="28"/>
      <c r="P484" s="28"/>
      <c r="Q484" s="36"/>
      <c r="R484" s="36"/>
      <c r="S484" s="36"/>
      <c r="T484" s="36"/>
      <c r="U484" s="36"/>
      <c r="V484" s="36"/>
      <c r="W484" s="36"/>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8"/>
      <c r="BW484" s="28"/>
      <c r="BX484" s="28"/>
      <c r="BY484" s="28"/>
      <c r="BZ484" s="28"/>
      <c r="CA484" s="28"/>
      <c r="CB484" s="28"/>
      <c r="CC484" s="28"/>
      <c r="CD484" s="28"/>
      <c r="CE484" s="28"/>
      <c r="CF484" s="28"/>
      <c r="CG484" s="28"/>
    </row>
    <row r="485" spans="1:85" ht="12.75" x14ac:dyDescent="0.2">
      <c r="A485" s="28"/>
      <c r="B485" s="28"/>
      <c r="C485" s="28"/>
      <c r="D485" s="28"/>
      <c r="E485" s="28"/>
      <c r="F485" s="28"/>
      <c r="G485" s="28"/>
      <c r="H485" s="28"/>
      <c r="I485" s="28"/>
      <c r="J485" s="28"/>
      <c r="K485" s="36"/>
      <c r="L485" s="28"/>
      <c r="M485" s="28"/>
      <c r="N485" s="28"/>
      <c r="O485" s="28"/>
      <c r="P485" s="28"/>
      <c r="Q485" s="36"/>
      <c r="R485" s="36"/>
      <c r="S485" s="36"/>
      <c r="T485" s="36"/>
      <c r="U485" s="36"/>
      <c r="V485" s="36"/>
      <c r="W485" s="36"/>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c r="BE485" s="28"/>
      <c r="BF485" s="28"/>
      <c r="BG485" s="28"/>
      <c r="BH485" s="28"/>
      <c r="BI485" s="28"/>
      <c r="BJ485" s="28"/>
      <c r="BK485" s="28"/>
      <c r="BL485" s="28"/>
      <c r="BM485" s="28"/>
      <c r="BN485" s="28"/>
      <c r="BO485" s="28"/>
      <c r="BP485" s="28"/>
      <c r="BQ485" s="28"/>
      <c r="BR485" s="28"/>
      <c r="BS485" s="28"/>
      <c r="BT485" s="28"/>
      <c r="BU485" s="28"/>
      <c r="BV485" s="28"/>
      <c r="BW485" s="28"/>
      <c r="BX485" s="28"/>
      <c r="BY485" s="28"/>
      <c r="BZ485" s="28"/>
      <c r="CA485" s="28"/>
      <c r="CB485" s="28"/>
      <c r="CC485" s="28"/>
      <c r="CD485" s="28"/>
      <c r="CE485" s="28"/>
      <c r="CF485" s="28"/>
      <c r="CG485" s="28"/>
    </row>
    <row r="486" spans="1:85" ht="12.75" x14ac:dyDescent="0.2">
      <c r="A486" s="28"/>
      <c r="B486" s="28"/>
      <c r="C486" s="28"/>
      <c r="D486" s="28"/>
      <c r="E486" s="28"/>
      <c r="F486" s="28"/>
      <c r="G486" s="28"/>
      <c r="H486" s="28"/>
      <c r="I486" s="28"/>
      <c r="J486" s="28"/>
      <c r="K486" s="36"/>
      <c r="L486" s="28"/>
      <c r="M486" s="28"/>
      <c r="N486" s="28"/>
      <c r="O486" s="28"/>
      <c r="P486" s="28"/>
      <c r="Q486" s="36"/>
      <c r="R486" s="36"/>
      <c r="S486" s="36"/>
      <c r="T486" s="36"/>
      <c r="U486" s="36"/>
      <c r="V486" s="36"/>
      <c r="W486" s="36"/>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8"/>
      <c r="BW486" s="28"/>
      <c r="BX486" s="28"/>
      <c r="BY486" s="28"/>
      <c r="BZ486" s="28"/>
      <c r="CA486" s="28"/>
      <c r="CB486" s="28"/>
      <c r="CC486" s="28"/>
      <c r="CD486" s="28"/>
      <c r="CE486" s="28"/>
      <c r="CF486" s="28"/>
      <c r="CG486" s="28"/>
    </row>
    <row r="487" spans="1:85" ht="12.75" x14ac:dyDescent="0.2">
      <c r="A487" s="28"/>
      <c r="B487" s="28"/>
      <c r="C487" s="28"/>
      <c r="D487" s="28"/>
      <c r="E487" s="28"/>
      <c r="F487" s="28"/>
      <c r="G487" s="28"/>
      <c r="H487" s="28"/>
      <c r="I487" s="28"/>
      <c r="J487" s="28"/>
      <c r="K487" s="36"/>
      <c r="L487" s="28"/>
      <c r="M487" s="28"/>
      <c r="N487" s="28"/>
      <c r="O487" s="28"/>
      <c r="P487" s="28"/>
      <c r="Q487" s="36"/>
      <c r="R487" s="36"/>
      <c r="S487" s="36"/>
      <c r="T487" s="36"/>
      <c r="U487" s="36"/>
      <c r="V487" s="36"/>
      <c r="W487" s="36"/>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c r="BE487" s="28"/>
      <c r="BF487" s="28"/>
      <c r="BG487" s="28"/>
      <c r="BH487" s="28"/>
      <c r="BI487" s="28"/>
      <c r="BJ487" s="28"/>
      <c r="BK487" s="28"/>
      <c r="BL487" s="28"/>
      <c r="BM487" s="28"/>
      <c r="BN487" s="28"/>
      <c r="BO487" s="28"/>
      <c r="BP487" s="28"/>
      <c r="BQ487" s="28"/>
      <c r="BR487" s="28"/>
      <c r="BS487" s="28"/>
      <c r="BT487" s="28"/>
      <c r="BU487" s="28"/>
      <c r="BV487" s="28"/>
      <c r="BW487" s="28"/>
      <c r="BX487" s="28"/>
      <c r="BY487" s="28"/>
      <c r="BZ487" s="28"/>
      <c r="CA487" s="28"/>
      <c r="CB487" s="28"/>
      <c r="CC487" s="28"/>
      <c r="CD487" s="28"/>
      <c r="CE487" s="28"/>
      <c r="CF487" s="28"/>
      <c r="CG487" s="28"/>
    </row>
    <row r="488" spans="1:85" ht="12.75" x14ac:dyDescent="0.2">
      <c r="A488" s="28"/>
      <c r="B488" s="28"/>
      <c r="C488" s="28"/>
      <c r="D488" s="28"/>
      <c r="E488" s="28"/>
      <c r="F488" s="28"/>
      <c r="G488" s="28"/>
      <c r="H488" s="28"/>
      <c r="I488" s="28"/>
      <c r="J488" s="28"/>
      <c r="K488" s="36"/>
      <c r="L488" s="28"/>
      <c r="M488" s="28"/>
      <c r="N488" s="28"/>
      <c r="O488" s="28"/>
      <c r="P488" s="28"/>
      <c r="Q488" s="36"/>
      <c r="R488" s="36"/>
      <c r="S488" s="36"/>
      <c r="T488" s="36"/>
      <c r="U488" s="36"/>
      <c r="V488" s="36"/>
      <c r="W488" s="36"/>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8"/>
      <c r="BW488" s="28"/>
      <c r="BX488" s="28"/>
      <c r="BY488" s="28"/>
      <c r="BZ488" s="28"/>
      <c r="CA488" s="28"/>
      <c r="CB488" s="28"/>
      <c r="CC488" s="28"/>
      <c r="CD488" s="28"/>
      <c r="CE488" s="28"/>
      <c r="CF488" s="28"/>
      <c r="CG488" s="28"/>
    </row>
    <row r="489" spans="1:85" ht="12.75" x14ac:dyDescent="0.2">
      <c r="A489" s="28"/>
      <c r="B489" s="28"/>
      <c r="C489" s="28"/>
      <c r="D489" s="28"/>
      <c r="E489" s="28"/>
      <c r="F489" s="28"/>
      <c r="G489" s="28"/>
      <c r="H489" s="28"/>
      <c r="I489" s="28"/>
      <c r="J489" s="28"/>
      <c r="K489" s="36"/>
      <c r="L489" s="28"/>
      <c r="M489" s="28"/>
      <c r="N489" s="28"/>
      <c r="O489" s="28"/>
      <c r="P489" s="28"/>
      <c r="Q489" s="36"/>
      <c r="R489" s="36"/>
      <c r="S489" s="36"/>
      <c r="T489" s="36"/>
      <c r="U489" s="36"/>
      <c r="V489" s="36"/>
      <c r="W489" s="36"/>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c r="BE489" s="28"/>
      <c r="BF489" s="28"/>
      <c r="BG489" s="28"/>
      <c r="BH489" s="28"/>
      <c r="BI489" s="28"/>
      <c r="BJ489" s="28"/>
      <c r="BK489" s="28"/>
      <c r="BL489" s="28"/>
      <c r="BM489" s="28"/>
      <c r="BN489" s="28"/>
      <c r="BO489" s="28"/>
      <c r="BP489" s="28"/>
      <c r="BQ489" s="28"/>
      <c r="BR489" s="28"/>
      <c r="BS489" s="28"/>
      <c r="BT489" s="28"/>
      <c r="BU489" s="28"/>
      <c r="BV489" s="28"/>
      <c r="BW489" s="28"/>
      <c r="BX489" s="28"/>
      <c r="BY489" s="28"/>
      <c r="BZ489" s="28"/>
      <c r="CA489" s="28"/>
      <c r="CB489" s="28"/>
      <c r="CC489" s="28"/>
      <c r="CD489" s="28"/>
      <c r="CE489" s="28"/>
      <c r="CF489" s="28"/>
      <c r="CG489" s="28"/>
    </row>
    <row r="490" spans="1:85" ht="12.75" x14ac:dyDescent="0.2">
      <c r="A490" s="28"/>
      <c r="B490" s="28"/>
      <c r="C490" s="28"/>
      <c r="D490" s="28"/>
      <c r="E490" s="28"/>
      <c r="F490" s="28"/>
      <c r="G490" s="28"/>
      <c r="H490" s="28"/>
      <c r="I490" s="28"/>
      <c r="J490" s="28"/>
      <c r="K490" s="36"/>
      <c r="L490" s="28"/>
      <c r="M490" s="28"/>
      <c r="N490" s="28"/>
      <c r="O490" s="28"/>
      <c r="P490" s="28"/>
      <c r="Q490" s="36"/>
      <c r="R490" s="36"/>
      <c r="S490" s="36"/>
      <c r="T490" s="36"/>
      <c r="U490" s="36"/>
      <c r="V490" s="36"/>
      <c r="W490" s="36"/>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8"/>
      <c r="BW490" s="28"/>
      <c r="BX490" s="28"/>
      <c r="BY490" s="28"/>
      <c r="BZ490" s="28"/>
      <c r="CA490" s="28"/>
      <c r="CB490" s="28"/>
      <c r="CC490" s="28"/>
      <c r="CD490" s="28"/>
      <c r="CE490" s="28"/>
      <c r="CF490" s="28"/>
      <c r="CG490" s="28"/>
    </row>
    <row r="491" spans="1:85" ht="12.75" x14ac:dyDescent="0.2">
      <c r="A491" s="28"/>
      <c r="B491" s="28"/>
      <c r="C491" s="28"/>
      <c r="D491" s="28"/>
      <c r="E491" s="28"/>
      <c r="F491" s="28"/>
      <c r="G491" s="28"/>
      <c r="H491" s="28"/>
      <c r="I491" s="28"/>
      <c r="J491" s="28"/>
      <c r="K491" s="36"/>
      <c r="L491" s="28"/>
      <c r="M491" s="28"/>
      <c r="N491" s="28"/>
      <c r="O491" s="28"/>
      <c r="P491" s="28"/>
      <c r="Q491" s="36"/>
      <c r="R491" s="36"/>
      <c r="S491" s="36"/>
      <c r="T491" s="36"/>
      <c r="U491" s="36"/>
      <c r="V491" s="36"/>
      <c r="W491" s="36"/>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c r="BE491" s="28"/>
      <c r="BF491" s="28"/>
      <c r="BG491" s="28"/>
      <c r="BH491" s="28"/>
      <c r="BI491" s="28"/>
      <c r="BJ491" s="28"/>
      <c r="BK491" s="28"/>
      <c r="BL491" s="28"/>
      <c r="BM491" s="28"/>
      <c r="BN491" s="28"/>
      <c r="BO491" s="28"/>
      <c r="BP491" s="28"/>
      <c r="BQ491" s="28"/>
      <c r="BR491" s="28"/>
      <c r="BS491" s="28"/>
      <c r="BT491" s="28"/>
      <c r="BU491" s="28"/>
      <c r="BV491" s="28"/>
      <c r="BW491" s="28"/>
      <c r="BX491" s="28"/>
      <c r="BY491" s="28"/>
      <c r="BZ491" s="28"/>
      <c r="CA491" s="28"/>
      <c r="CB491" s="28"/>
      <c r="CC491" s="28"/>
      <c r="CD491" s="28"/>
      <c r="CE491" s="28"/>
      <c r="CF491" s="28"/>
      <c r="CG491" s="28"/>
    </row>
    <row r="492" spans="1:85" ht="12.75" x14ac:dyDescent="0.2">
      <c r="A492" s="28"/>
      <c r="B492" s="28"/>
      <c r="C492" s="28"/>
      <c r="D492" s="28"/>
      <c r="E492" s="28"/>
      <c r="F492" s="28"/>
      <c r="G492" s="28"/>
      <c r="H492" s="28"/>
      <c r="I492" s="28"/>
      <c r="J492" s="28"/>
      <c r="K492" s="36"/>
      <c r="L492" s="28"/>
      <c r="M492" s="28"/>
      <c r="N492" s="28"/>
      <c r="O492" s="28"/>
      <c r="P492" s="28"/>
      <c r="Q492" s="36"/>
      <c r="R492" s="36"/>
      <c r="S492" s="36"/>
      <c r="T492" s="36"/>
      <c r="U492" s="36"/>
      <c r="V492" s="36"/>
      <c r="W492" s="36"/>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8"/>
      <c r="BW492" s="28"/>
      <c r="BX492" s="28"/>
      <c r="BY492" s="28"/>
      <c r="BZ492" s="28"/>
      <c r="CA492" s="28"/>
      <c r="CB492" s="28"/>
      <c r="CC492" s="28"/>
      <c r="CD492" s="28"/>
      <c r="CE492" s="28"/>
      <c r="CF492" s="28"/>
      <c r="CG492" s="28"/>
    </row>
    <row r="493" spans="1:85" ht="12.75" x14ac:dyDescent="0.2">
      <c r="A493" s="28"/>
      <c r="B493" s="28"/>
      <c r="C493" s="28"/>
      <c r="D493" s="28"/>
      <c r="E493" s="28"/>
      <c r="F493" s="28"/>
      <c r="G493" s="28"/>
      <c r="H493" s="28"/>
      <c r="I493" s="28"/>
      <c r="J493" s="28"/>
      <c r="K493" s="36"/>
      <c r="L493" s="28"/>
      <c r="M493" s="28"/>
      <c r="N493" s="28"/>
      <c r="O493" s="28"/>
      <c r="P493" s="28"/>
      <c r="Q493" s="36"/>
      <c r="R493" s="36"/>
      <c r="S493" s="36"/>
      <c r="T493" s="36"/>
      <c r="U493" s="36"/>
      <c r="V493" s="36"/>
      <c r="W493" s="36"/>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c r="BE493" s="28"/>
      <c r="BF493" s="28"/>
      <c r="BG493" s="28"/>
      <c r="BH493" s="28"/>
      <c r="BI493" s="28"/>
      <c r="BJ493" s="28"/>
      <c r="BK493" s="28"/>
      <c r="BL493" s="28"/>
      <c r="BM493" s="28"/>
      <c r="BN493" s="28"/>
      <c r="BO493" s="28"/>
      <c r="BP493" s="28"/>
      <c r="BQ493" s="28"/>
      <c r="BR493" s="28"/>
      <c r="BS493" s="28"/>
      <c r="BT493" s="28"/>
      <c r="BU493" s="28"/>
      <c r="BV493" s="28"/>
      <c r="BW493" s="28"/>
      <c r="BX493" s="28"/>
      <c r="BY493" s="28"/>
      <c r="BZ493" s="28"/>
      <c r="CA493" s="28"/>
      <c r="CB493" s="28"/>
      <c r="CC493" s="28"/>
      <c r="CD493" s="28"/>
      <c r="CE493" s="28"/>
      <c r="CF493" s="28"/>
      <c r="CG493" s="28"/>
    </row>
    <row r="494" spans="1:85" ht="12.75" x14ac:dyDescent="0.2">
      <c r="A494" s="28"/>
      <c r="B494" s="28"/>
      <c r="C494" s="28"/>
      <c r="D494" s="28"/>
      <c r="E494" s="28"/>
      <c r="F494" s="28"/>
      <c r="G494" s="28"/>
      <c r="H494" s="28"/>
      <c r="I494" s="28"/>
      <c r="J494" s="28"/>
      <c r="K494" s="36"/>
      <c r="L494" s="28"/>
      <c r="M494" s="28"/>
      <c r="N494" s="28"/>
      <c r="O494" s="28"/>
      <c r="P494" s="28"/>
      <c r="Q494" s="36"/>
      <c r="R494" s="36"/>
      <c r="S494" s="36"/>
      <c r="T494" s="36"/>
      <c r="U494" s="36"/>
      <c r="V494" s="36"/>
      <c r="W494" s="36"/>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8"/>
      <c r="BW494" s="28"/>
      <c r="BX494" s="28"/>
      <c r="BY494" s="28"/>
      <c r="BZ494" s="28"/>
      <c r="CA494" s="28"/>
      <c r="CB494" s="28"/>
      <c r="CC494" s="28"/>
      <c r="CD494" s="28"/>
      <c r="CE494" s="28"/>
      <c r="CF494" s="28"/>
      <c r="CG494" s="28"/>
    </row>
    <row r="495" spans="1:85" ht="12.75" x14ac:dyDescent="0.2">
      <c r="A495" s="28"/>
      <c r="B495" s="28"/>
      <c r="C495" s="28"/>
      <c r="D495" s="28"/>
      <c r="E495" s="28"/>
      <c r="F495" s="28"/>
      <c r="G495" s="28"/>
      <c r="H495" s="28"/>
      <c r="I495" s="28"/>
      <c r="J495" s="28"/>
      <c r="K495" s="36"/>
      <c r="L495" s="28"/>
      <c r="M495" s="28"/>
      <c r="N495" s="28"/>
      <c r="O495" s="28"/>
      <c r="P495" s="28"/>
      <c r="Q495" s="36"/>
      <c r="R495" s="36"/>
      <c r="S495" s="36"/>
      <c r="T495" s="36"/>
      <c r="U495" s="36"/>
      <c r="V495" s="36"/>
      <c r="W495" s="36"/>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c r="BE495" s="28"/>
      <c r="BF495" s="28"/>
      <c r="BG495" s="28"/>
      <c r="BH495" s="28"/>
      <c r="BI495" s="28"/>
      <c r="BJ495" s="28"/>
      <c r="BK495" s="28"/>
      <c r="BL495" s="28"/>
      <c r="BM495" s="28"/>
      <c r="BN495" s="28"/>
      <c r="BO495" s="28"/>
      <c r="BP495" s="28"/>
      <c r="BQ495" s="28"/>
      <c r="BR495" s="28"/>
      <c r="BS495" s="28"/>
      <c r="BT495" s="28"/>
      <c r="BU495" s="28"/>
      <c r="BV495" s="28"/>
      <c r="BW495" s="28"/>
      <c r="BX495" s="28"/>
      <c r="BY495" s="28"/>
      <c r="BZ495" s="28"/>
      <c r="CA495" s="28"/>
      <c r="CB495" s="28"/>
      <c r="CC495" s="28"/>
      <c r="CD495" s="28"/>
      <c r="CE495" s="28"/>
      <c r="CF495" s="28"/>
      <c r="CG495" s="28"/>
    </row>
    <row r="496" spans="1:85" ht="12.75" x14ac:dyDescent="0.2">
      <c r="A496" s="28"/>
      <c r="B496" s="28"/>
      <c r="C496" s="28"/>
      <c r="D496" s="28"/>
      <c r="E496" s="28"/>
      <c r="F496" s="28"/>
      <c r="G496" s="28"/>
      <c r="H496" s="28"/>
      <c r="I496" s="28"/>
      <c r="J496" s="28"/>
      <c r="K496" s="36"/>
      <c r="L496" s="28"/>
      <c r="M496" s="28"/>
      <c r="N496" s="28"/>
      <c r="O496" s="28"/>
      <c r="P496" s="28"/>
      <c r="Q496" s="36"/>
      <c r="R496" s="36"/>
      <c r="S496" s="36"/>
      <c r="T496" s="36"/>
      <c r="U496" s="36"/>
      <c r="V496" s="36"/>
      <c r="W496" s="36"/>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8"/>
      <c r="BW496" s="28"/>
      <c r="BX496" s="28"/>
      <c r="BY496" s="28"/>
      <c r="BZ496" s="28"/>
      <c r="CA496" s="28"/>
      <c r="CB496" s="28"/>
      <c r="CC496" s="28"/>
      <c r="CD496" s="28"/>
      <c r="CE496" s="28"/>
      <c r="CF496" s="28"/>
      <c r="CG496" s="28"/>
    </row>
    <row r="497" spans="1:85" ht="12.75" x14ac:dyDescent="0.2">
      <c r="A497" s="28"/>
      <c r="B497" s="28"/>
      <c r="C497" s="28"/>
      <c r="D497" s="28"/>
      <c r="E497" s="28"/>
      <c r="F497" s="28"/>
      <c r="G497" s="28"/>
      <c r="H497" s="28"/>
      <c r="I497" s="28"/>
      <c r="J497" s="28"/>
      <c r="K497" s="36"/>
      <c r="L497" s="28"/>
      <c r="M497" s="28"/>
      <c r="N497" s="28"/>
      <c r="O497" s="28"/>
      <c r="P497" s="28"/>
      <c r="Q497" s="36"/>
      <c r="R497" s="36"/>
      <c r="S497" s="36"/>
      <c r="T497" s="36"/>
      <c r="U497" s="36"/>
      <c r="V497" s="36"/>
      <c r="W497" s="36"/>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c r="BE497" s="28"/>
      <c r="BF497" s="28"/>
      <c r="BG497" s="28"/>
      <c r="BH497" s="28"/>
      <c r="BI497" s="28"/>
      <c r="BJ497" s="28"/>
      <c r="BK497" s="28"/>
      <c r="BL497" s="28"/>
      <c r="BM497" s="28"/>
      <c r="BN497" s="28"/>
      <c r="BO497" s="28"/>
      <c r="BP497" s="28"/>
      <c r="BQ497" s="28"/>
      <c r="BR497" s="28"/>
      <c r="BS497" s="28"/>
      <c r="BT497" s="28"/>
      <c r="BU497" s="28"/>
      <c r="BV497" s="28"/>
      <c r="BW497" s="28"/>
      <c r="BX497" s="28"/>
      <c r="BY497" s="28"/>
      <c r="BZ497" s="28"/>
      <c r="CA497" s="28"/>
      <c r="CB497" s="28"/>
      <c r="CC497" s="28"/>
      <c r="CD497" s="28"/>
      <c r="CE497" s="28"/>
      <c r="CF497" s="28"/>
      <c r="CG497" s="28"/>
    </row>
    <row r="498" spans="1:85" ht="12.75" x14ac:dyDescent="0.2">
      <c r="A498" s="28"/>
      <c r="B498" s="28"/>
      <c r="C498" s="28"/>
      <c r="D498" s="28"/>
      <c r="E498" s="28"/>
      <c r="F498" s="28"/>
      <c r="G498" s="28"/>
      <c r="H498" s="28"/>
      <c r="I498" s="28"/>
      <c r="J498" s="28"/>
      <c r="K498" s="36"/>
      <c r="L498" s="28"/>
      <c r="M498" s="28"/>
      <c r="N498" s="28"/>
      <c r="O498" s="28"/>
      <c r="P498" s="28"/>
      <c r="Q498" s="36"/>
      <c r="R498" s="36"/>
      <c r="S498" s="36"/>
      <c r="T498" s="36"/>
      <c r="U498" s="36"/>
      <c r="V498" s="36"/>
      <c r="W498" s="36"/>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8"/>
      <c r="BW498" s="28"/>
      <c r="BX498" s="28"/>
      <c r="BY498" s="28"/>
      <c r="BZ498" s="28"/>
      <c r="CA498" s="28"/>
      <c r="CB498" s="28"/>
      <c r="CC498" s="28"/>
      <c r="CD498" s="28"/>
      <c r="CE498" s="28"/>
      <c r="CF498" s="28"/>
      <c r="CG498" s="28"/>
    </row>
    <row r="499" spans="1:85" ht="12.75" x14ac:dyDescent="0.2">
      <c r="A499" s="28"/>
      <c r="B499" s="28"/>
      <c r="C499" s="28"/>
      <c r="D499" s="28"/>
      <c r="E499" s="28"/>
      <c r="F499" s="28"/>
      <c r="G499" s="28"/>
      <c r="H499" s="28"/>
      <c r="I499" s="28"/>
      <c r="J499" s="28"/>
      <c r="K499" s="36"/>
      <c r="L499" s="28"/>
      <c r="M499" s="28"/>
      <c r="N499" s="28"/>
      <c r="O499" s="28"/>
      <c r="P499" s="28"/>
      <c r="Q499" s="36"/>
      <c r="R499" s="36"/>
      <c r="S499" s="36"/>
      <c r="T499" s="36"/>
      <c r="U499" s="36"/>
      <c r="V499" s="36"/>
      <c r="W499" s="36"/>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c r="BE499" s="28"/>
      <c r="BF499" s="28"/>
      <c r="BG499" s="28"/>
      <c r="BH499" s="28"/>
      <c r="BI499" s="28"/>
      <c r="BJ499" s="28"/>
      <c r="BK499" s="28"/>
      <c r="BL499" s="28"/>
      <c r="BM499" s="28"/>
      <c r="BN499" s="28"/>
      <c r="BO499" s="28"/>
      <c r="BP499" s="28"/>
      <c r="BQ499" s="28"/>
      <c r="BR499" s="28"/>
      <c r="BS499" s="28"/>
      <c r="BT499" s="28"/>
      <c r="BU499" s="28"/>
      <c r="BV499" s="28"/>
      <c r="BW499" s="28"/>
      <c r="BX499" s="28"/>
      <c r="BY499" s="28"/>
      <c r="BZ499" s="28"/>
      <c r="CA499" s="28"/>
      <c r="CB499" s="28"/>
      <c r="CC499" s="28"/>
      <c r="CD499" s="28"/>
      <c r="CE499" s="28"/>
      <c r="CF499" s="28"/>
      <c r="CG499" s="28"/>
    </row>
    <row r="500" spans="1:85" ht="12.75" x14ac:dyDescent="0.2">
      <c r="A500" s="28"/>
      <c r="B500" s="28"/>
      <c r="C500" s="28"/>
      <c r="D500" s="28"/>
      <c r="E500" s="28"/>
      <c r="F500" s="28"/>
      <c r="G500" s="28"/>
      <c r="H500" s="28"/>
      <c r="I500" s="28"/>
      <c r="J500" s="28"/>
      <c r="K500" s="36"/>
      <c r="L500" s="28"/>
      <c r="M500" s="28"/>
      <c r="N500" s="28"/>
      <c r="O500" s="28"/>
      <c r="P500" s="28"/>
      <c r="Q500" s="36"/>
      <c r="R500" s="36"/>
      <c r="S500" s="36"/>
      <c r="T500" s="36"/>
      <c r="U500" s="36"/>
      <c r="V500" s="36"/>
      <c r="W500" s="36"/>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8"/>
      <c r="BW500" s="28"/>
      <c r="BX500" s="28"/>
      <c r="BY500" s="28"/>
      <c r="BZ500" s="28"/>
      <c r="CA500" s="28"/>
      <c r="CB500" s="28"/>
      <c r="CC500" s="28"/>
      <c r="CD500" s="28"/>
      <c r="CE500" s="28"/>
      <c r="CF500" s="28"/>
      <c r="CG500" s="28"/>
    </row>
    <row r="501" spans="1:85" ht="12.75" x14ac:dyDescent="0.2">
      <c r="A501" s="28"/>
      <c r="B501" s="28"/>
      <c r="C501" s="28"/>
      <c r="D501" s="28"/>
      <c r="E501" s="28"/>
      <c r="F501" s="28"/>
      <c r="G501" s="28"/>
      <c r="H501" s="28"/>
      <c r="I501" s="28"/>
      <c r="J501" s="28"/>
      <c r="K501" s="36"/>
      <c r="L501" s="28"/>
      <c r="M501" s="28"/>
      <c r="N501" s="28"/>
      <c r="O501" s="28"/>
      <c r="P501" s="28"/>
      <c r="Q501" s="36"/>
      <c r="R501" s="36"/>
      <c r="S501" s="36"/>
      <c r="T501" s="36"/>
      <c r="U501" s="36"/>
      <c r="V501" s="36"/>
      <c r="W501" s="36"/>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c r="BE501" s="28"/>
      <c r="BF501" s="28"/>
      <c r="BG501" s="28"/>
      <c r="BH501" s="28"/>
      <c r="BI501" s="28"/>
      <c r="BJ501" s="28"/>
      <c r="BK501" s="28"/>
      <c r="BL501" s="28"/>
      <c r="BM501" s="28"/>
      <c r="BN501" s="28"/>
      <c r="BO501" s="28"/>
      <c r="BP501" s="28"/>
      <c r="BQ501" s="28"/>
      <c r="BR501" s="28"/>
      <c r="BS501" s="28"/>
      <c r="BT501" s="28"/>
      <c r="BU501" s="28"/>
      <c r="BV501" s="28"/>
      <c r="BW501" s="28"/>
      <c r="BX501" s="28"/>
      <c r="BY501" s="28"/>
      <c r="BZ501" s="28"/>
      <c r="CA501" s="28"/>
      <c r="CB501" s="28"/>
      <c r="CC501" s="28"/>
      <c r="CD501" s="28"/>
      <c r="CE501" s="28"/>
      <c r="CF501" s="28"/>
      <c r="CG501" s="28"/>
    </row>
    <row r="502" spans="1:85" ht="12.75" x14ac:dyDescent="0.2">
      <c r="A502" s="28"/>
      <c r="B502" s="28"/>
      <c r="C502" s="28"/>
      <c r="D502" s="28"/>
      <c r="E502" s="28"/>
      <c r="F502" s="28"/>
      <c r="G502" s="28"/>
      <c r="H502" s="28"/>
      <c r="I502" s="28"/>
      <c r="J502" s="28"/>
      <c r="K502" s="36"/>
      <c r="L502" s="28"/>
      <c r="M502" s="28"/>
      <c r="N502" s="28"/>
      <c r="O502" s="28"/>
      <c r="P502" s="28"/>
      <c r="Q502" s="36"/>
      <c r="R502" s="36"/>
      <c r="S502" s="36"/>
      <c r="T502" s="36"/>
      <c r="U502" s="36"/>
      <c r="V502" s="36"/>
      <c r="W502" s="36"/>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8"/>
      <c r="BW502" s="28"/>
      <c r="BX502" s="28"/>
      <c r="BY502" s="28"/>
      <c r="BZ502" s="28"/>
      <c r="CA502" s="28"/>
      <c r="CB502" s="28"/>
      <c r="CC502" s="28"/>
      <c r="CD502" s="28"/>
      <c r="CE502" s="28"/>
      <c r="CF502" s="28"/>
      <c r="CG502" s="28"/>
    </row>
    <row r="503" spans="1:85" ht="12.75" x14ac:dyDescent="0.2">
      <c r="A503" s="28"/>
      <c r="B503" s="28"/>
      <c r="C503" s="28"/>
      <c r="D503" s="28"/>
      <c r="E503" s="28"/>
      <c r="F503" s="28"/>
      <c r="G503" s="28"/>
      <c r="H503" s="28"/>
      <c r="I503" s="28"/>
      <c r="J503" s="28"/>
      <c r="K503" s="36"/>
      <c r="L503" s="28"/>
      <c r="M503" s="28"/>
      <c r="N503" s="28"/>
      <c r="O503" s="28"/>
      <c r="P503" s="28"/>
      <c r="Q503" s="36"/>
      <c r="R503" s="36"/>
      <c r="S503" s="36"/>
      <c r="T503" s="36"/>
      <c r="U503" s="36"/>
      <c r="V503" s="36"/>
      <c r="W503" s="36"/>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c r="BE503" s="28"/>
      <c r="BF503" s="28"/>
      <c r="BG503" s="28"/>
      <c r="BH503" s="28"/>
      <c r="BI503" s="28"/>
      <c r="BJ503" s="28"/>
      <c r="BK503" s="28"/>
      <c r="BL503" s="28"/>
      <c r="BM503" s="28"/>
      <c r="BN503" s="28"/>
      <c r="BO503" s="28"/>
      <c r="BP503" s="28"/>
      <c r="BQ503" s="28"/>
      <c r="BR503" s="28"/>
      <c r="BS503" s="28"/>
      <c r="BT503" s="28"/>
      <c r="BU503" s="28"/>
      <c r="BV503" s="28"/>
      <c r="BW503" s="28"/>
      <c r="BX503" s="28"/>
      <c r="BY503" s="28"/>
      <c r="BZ503" s="28"/>
      <c r="CA503" s="28"/>
      <c r="CB503" s="28"/>
      <c r="CC503" s="28"/>
      <c r="CD503" s="28"/>
      <c r="CE503" s="28"/>
      <c r="CF503" s="28"/>
      <c r="CG503" s="28"/>
    </row>
    <row r="504" spans="1:85" ht="12.75" x14ac:dyDescent="0.2">
      <c r="A504" s="28"/>
      <c r="B504" s="28"/>
      <c r="C504" s="28"/>
      <c r="D504" s="28"/>
      <c r="E504" s="28"/>
      <c r="F504" s="28"/>
      <c r="G504" s="28"/>
      <c r="H504" s="28"/>
      <c r="I504" s="28"/>
      <c r="J504" s="28"/>
      <c r="K504" s="36"/>
      <c r="L504" s="28"/>
      <c r="M504" s="28"/>
      <c r="N504" s="28"/>
      <c r="O504" s="28"/>
      <c r="P504" s="28"/>
      <c r="Q504" s="36"/>
      <c r="R504" s="36"/>
      <c r="S504" s="36"/>
      <c r="T504" s="36"/>
      <c r="U504" s="36"/>
      <c r="V504" s="36"/>
      <c r="W504" s="36"/>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8"/>
      <c r="BW504" s="28"/>
      <c r="BX504" s="28"/>
      <c r="BY504" s="28"/>
      <c r="BZ504" s="28"/>
      <c r="CA504" s="28"/>
      <c r="CB504" s="28"/>
      <c r="CC504" s="28"/>
      <c r="CD504" s="28"/>
      <c r="CE504" s="28"/>
      <c r="CF504" s="28"/>
      <c r="CG504" s="28"/>
    </row>
    <row r="505" spans="1:85" ht="12.75" x14ac:dyDescent="0.2">
      <c r="A505" s="28"/>
      <c r="B505" s="28"/>
      <c r="C505" s="28"/>
      <c r="D505" s="28"/>
      <c r="E505" s="28"/>
      <c r="F505" s="28"/>
      <c r="G505" s="28"/>
      <c r="H505" s="28"/>
      <c r="I505" s="28"/>
      <c r="J505" s="28"/>
      <c r="K505" s="36"/>
      <c r="L505" s="28"/>
      <c r="M505" s="28"/>
      <c r="N505" s="28"/>
      <c r="O505" s="28"/>
      <c r="P505" s="28"/>
      <c r="Q505" s="36"/>
      <c r="R505" s="36"/>
      <c r="S505" s="36"/>
      <c r="T505" s="36"/>
      <c r="U505" s="36"/>
      <c r="V505" s="36"/>
      <c r="W505" s="36"/>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c r="BE505" s="28"/>
      <c r="BF505" s="28"/>
      <c r="BG505" s="28"/>
      <c r="BH505" s="28"/>
      <c r="BI505" s="28"/>
      <c r="BJ505" s="28"/>
      <c r="BK505" s="28"/>
      <c r="BL505" s="28"/>
      <c r="BM505" s="28"/>
      <c r="BN505" s="28"/>
      <c r="BO505" s="28"/>
      <c r="BP505" s="28"/>
      <c r="BQ505" s="28"/>
      <c r="BR505" s="28"/>
      <c r="BS505" s="28"/>
      <c r="BT505" s="28"/>
      <c r="BU505" s="28"/>
      <c r="BV505" s="28"/>
      <c r="BW505" s="28"/>
      <c r="BX505" s="28"/>
      <c r="BY505" s="28"/>
      <c r="BZ505" s="28"/>
      <c r="CA505" s="28"/>
      <c r="CB505" s="28"/>
      <c r="CC505" s="28"/>
      <c r="CD505" s="28"/>
      <c r="CE505" s="28"/>
      <c r="CF505" s="28"/>
      <c r="CG505" s="28"/>
    </row>
    <row r="506" spans="1:85" ht="12.75" x14ac:dyDescent="0.2">
      <c r="A506" s="28"/>
      <c r="B506" s="28"/>
      <c r="C506" s="28"/>
      <c r="D506" s="28"/>
      <c r="E506" s="28"/>
      <c r="F506" s="28"/>
      <c r="G506" s="28"/>
      <c r="H506" s="28"/>
      <c r="I506" s="28"/>
      <c r="J506" s="28"/>
      <c r="K506" s="36"/>
      <c r="L506" s="28"/>
      <c r="M506" s="28"/>
      <c r="N506" s="28"/>
      <c r="O506" s="28"/>
      <c r="P506" s="28"/>
      <c r="Q506" s="36"/>
      <c r="R506" s="36"/>
      <c r="S506" s="36"/>
      <c r="T506" s="36"/>
      <c r="U506" s="36"/>
      <c r="V506" s="36"/>
      <c r="W506" s="36"/>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8"/>
      <c r="BW506" s="28"/>
      <c r="BX506" s="28"/>
      <c r="BY506" s="28"/>
      <c r="BZ506" s="28"/>
      <c r="CA506" s="28"/>
      <c r="CB506" s="28"/>
      <c r="CC506" s="28"/>
      <c r="CD506" s="28"/>
      <c r="CE506" s="28"/>
      <c r="CF506" s="28"/>
      <c r="CG506" s="28"/>
    </row>
    <row r="507" spans="1:85" ht="12.75" x14ac:dyDescent="0.2">
      <c r="A507" s="28"/>
      <c r="B507" s="28"/>
      <c r="C507" s="28"/>
      <c r="D507" s="28"/>
      <c r="E507" s="28"/>
      <c r="F507" s="28"/>
      <c r="G507" s="28"/>
      <c r="H507" s="28"/>
      <c r="I507" s="28"/>
      <c r="J507" s="28"/>
      <c r="K507" s="36"/>
      <c r="L507" s="28"/>
      <c r="M507" s="28"/>
      <c r="N507" s="28"/>
      <c r="O507" s="28"/>
      <c r="P507" s="28"/>
      <c r="Q507" s="36"/>
      <c r="R507" s="36"/>
      <c r="S507" s="36"/>
      <c r="T507" s="36"/>
      <c r="U507" s="36"/>
      <c r="V507" s="36"/>
      <c r="W507" s="36"/>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c r="BE507" s="28"/>
      <c r="BF507" s="28"/>
      <c r="BG507" s="28"/>
      <c r="BH507" s="28"/>
      <c r="BI507" s="28"/>
      <c r="BJ507" s="28"/>
      <c r="BK507" s="28"/>
      <c r="BL507" s="28"/>
      <c r="BM507" s="28"/>
      <c r="BN507" s="28"/>
      <c r="BO507" s="28"/>
      <c r="BP507" s="28"/>
      <c r="BQ507" s="28"/>
      <c r="BR507" s="28"/>
      <c r="BS507" s="28"/>
      <c r="BT507" s="28"/>
      <c r="BU507" s="28"/>
      <c r="BV507" s="28"/>
      <c r="BW507" s="28"/>
      <c r="BX507" s="28"/>
      <c r="BY507" s="28"/>
      <c r="BZ507" s="28"/>
      <c r="CA507" s="28"/>
      <c r="CB507" s="28"/>
      <c r="CC507" s="28"/>
      <c r="CD507" s="28"/>
      <c r="CE507" s="28"/>
      <c r="CF507" s="28"/>
      <c r="CG507" s="28"/>
    </row>
    <row r="508" spans="1:85" ht="12.75" x14ac:dyDescent="0.2">
      <c r="A508" s="28"/>
      <c r="B508" s="28"/>
      <c r="C508" s="28"/>
      <c r="D508" s="28"/>
      <c r="E508" s="28"/>
      <c r="F508" s="28"/>
      <c r="G508" s="28"/>
      <c r="H508" s="28"/>
      <c r="I508" s="28"/>
      <c r="J508" s="28"/>
      <c r="K508" s="36"/>
      <c r="L508" s="28"/>
      <c r="M508" s="28"/>
      <c r="N508" s="28"/>
      <c r="O508" s="28"/>
      <c r="P508" s="28"/>
      <c r="Q508" s="36"/>
      <c r="R508" s="36"/>
      <c r="S508" s="36"/>
      <c r="T508" s="36"/>
      <c r="U508" s="36"/>
      <c r="V508" s="36"/>
      <c r="W508" s="36"/>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8"/>
      <c r="BW508" s="28"/>
      <c r="BX508" s="28"/>
      <c r="BY508" s="28"/>
      <c r="BZ508" s="28"/>
      <c r="CA508" s="28"/>
      <c r="CB508" s="28"/>
      <c r="CC508" s="28"/>
      <c r="CD508" s="28"/>
      <c r="CE508" s="28"/>
      <c r="CF508" s="28"/>
      <c r="CG508" s="28"/>
    </row>
    <row r="509" spans="1:85" ht="12.75" x14ac:dyDescent="0.2">
      <c r="A509" s="28"/>
      <c r="B509" s="28"/>
      <c r="C509" s="28"/>
      <c r="D509" s="28"/>
      <c r="E509" s="28"/>
      <c r="F509" s="28"/>
      <c r="G509" s="28"/>
      <c r="H509" s="28"/>
      <c r="I509" s="28"/>
      <c r="J509" s="28"/>
      <c r="K509" s="36"/>
      <c r="L509" s="28"/>
      <c r="M509" s="28"/>
      <c r="N509" s="28"/>
      <c r="O509" s="28"/>
      <c r="P509" s="28"/>
      <c r="Q509" s="36"/>
      <c r="R509" s="36"/>
      <c r="S509" s="36"/>
      <c r="T509" s="36"/>
      <c r="U509" s="36"/>
      <c r="V509" s="36"/>
      <c r="W509" s="36"/>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c r="BE509" s="28"/>
      <c r="BF509" s="28"/>
      <c r="BG509" s="28"/>
      <c r="BH509" s="28"/>
      <c r="BI509" s="28"/>
      <c r="BJ509" s="28"/>
      <c r="BK509" s="28"/>
      <c r="BL509" s="28"/>
      <c r="BM509" s="28"/>
      <c r="BN509" s="28"/>
      <c r="BO509" s="28"/>
      <c r="BP509" s="28"/>
      <c r="BQ509" s="28"/>
      <c r="BR509" s="28"/>
      <c r="BS509" s="28"/>
      <c r="BT509" s="28"/>
      <c r="BU509" s="28"/>
      <c r="BV509" s="28"/>
      <c r="BW509" s="28"/>
      <c r="BX509" s="28"/>
      <c r="BY509" s="28"/>
      <c r="BZ509" s="28"/>
      <c r="CA509" s="28"/>
      <c r="CB509" s="28"/>
      <c r="CC509" s="28"/>
      <c r="CD509" s="28"/>
      <c r="CE509" s="28"/>
      <c r="CF509" s="28"/>
      <c r="CG509" s="28"/>
    </row>
    <row r="510" spans="1:85" ht="12.75" x14ac:dyDescent="0.2">
      <c r="A510" s="28"/>
      <c r="B510" s="28"/>
      <c r="C510" s="28"/>
      <c r="D510" s="28"/>
      <c r="E510" s="28"/>
      <c r="F510" s="28"/>
      <c r="G510" s="28"/>
      <c r="H510" s="28"/>
      <c r="I510" s="28"/>
      <c r="J510" s="28"/>
      <c r="K510" s="36"/>
      <c r="L510" s="28"/>
      <c r="M510" s="28"/>
      <c r="N510" s="28"/>
      <c r="O510" s="28"/>
      <c r="P510" s="28"/>
      <c r="Q510" s="36"/>
      <c r="R510" s="36"/>
      <c r="S510" s="36"/>
      <c r="T510" s="36"/>
      <c r="U510" s="36"/>
      <c r="V510" s="36"/>
      <c r="W510" s="36"/>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8"/>
      <c r="BW510" s="28"/>
      <c r="BX510" s="28"/>
      <c r="BY510" s="28"/>
      <c r="BZ510" s="28"/>
      <c r="CA510" s="28"/>
      <c r="CB510" s="28"/>
      <c r="CC510" s="28"/>
      <c r="CD510" s="28"/>
      <c r="CE510" s="28"/>
      <c r="CF510" s="28"/>
      <c r="CG510" s="28"/>
    </row>
    <row r="511" spans="1:85" ht="12.75" x14ac:dyDescent="0.2">
      <c r="A511" s="28"/>
      <c r="B511" s="28"/>
      <c r="C511" s="28"/>
      <c r="D511" s="28"/>
      <c r="E511" s="28"/>
      <c r="F511" s="28"/>
      <c r="G511" s="28"/>
      <c r="H511" s="28"/>
      <c r="I511" s="28"/>
      <c r="J511" s="28"/>
      <c r="K511" s="36"/>
      <c r="L511" s="28"/>
      <c r="M511" s="28"/>
      <c r="N511" s="28"/>
      <c r="O511" s="28"/>
      <c r="P511" s="28"/>
      <c r="Q511" s="36"/>
      <c r="R511" s="36"/>
      <c r="S511" s="36"/>
      <c r="T511" s="36"/>
      <c r="U511" s="36"/>
      <c r="V511" s="36"/>
      <c r="W511" s="36"/>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c r="BE511" s="28"/>
      <c r="BF511" s="28"/>
      <c r="BG511" s="28"/>
      <c r="BH511" s="28"/>
      <c r="BI511" s="28"/>
      <c r="BJ511" s="28"/>
      <c r="BK511" s="28"/>
      <c r="BL511" s="28"/>
      <c r="BM511" s="28"/>
      <c r="BN511" s="28"/>
      <c r="BO511" s="28"/>
      <c r="BP511" s="28"/>
      <c r="BQ511" s="28"/>
      <c r="BR511" s="28"/>
      <c r="BS511" s="28"/>
      <c r="BT511" s="28"/>
      <c r="BU511" s="28"/>
      <c r="BV511" s="28"/>
      <c r="BW511" s="28"/>
      <c r="BX511" s="28"/>
      <c r="BY511" s="28"/>
      <c r="BZ511" s="28"/>
      <c r="CA511" s="28"/>
      <c r="CB511" s="28"/>
      <c r="CC511" s="28"/>
      <c r="CD511" s="28"/>
      <c r="CE511" s="28"/>
      <c r="CF511" s="28"/>
      <c r="CG511" s="28"/>
    </row>
    <row r="512" spans="1:85" ht="12.75" x14ac:dyDescent="0.2">
      <c r="A512" s="28"/>
      <c r="B512" s="28"/>
      <c r="C512" s="28"/>
      <c r="D512" s="28"/>
      <c r="E512" s="28"/>
      <c r="F512" s="28"/>
      <c r="G512" s="28"/>
      <c r="H512" s="28"/>
      <c r="I512" s="28"/>
      <c r="J512" s="28"/>
      <c r="K512" s="36"/>
      <c r="L512" s="28"/>
      <c r="M512" s="28"/>
      <c r="N512" s="28"/>
      <c r="O512" s="28"/>
      <c r="P512" s="28"/>
      <c r="Q512" s="36"/>
      <c r="R512" s="36"/>
      <c r="S512" s="36"/>
      <c r="T512" s="36"/>
      <c r="U512" s="36"/>
      <c r="V512" s="36"/>
      <c r="W512" s="36"/>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8"/>
      <c r="BW512" s="28"/>
      <c r="BX512" s="28"/>
      <c r="BY512" s="28"/>
      <c r="BZ512" s="28"/>
      <c r="CA512" s="28"/>
      <c r="CB512" s="28"/>
      <c r="CC512" s="28"/>
      <c r="CD512" s="28"/>
      <c r="CE512" s="28"/>
      <c r="CF512" s="28"/>
      <c r="CG512" s="28"/>
    </row>
    <row r="513" spans="1:85" ht="12.75" x14ac:dyDescent="0.2">
      <c r="A513" s="28"/>
      <c r="B513" s="28"/>
      <c r="C513" s="28"/>
      <c r="D513" s="28"/>
      <c r="E513" s="28"/>
      <c r="F513" s="28"/>
      <c r="G513" s="28"/>
      <c r="H513" s="28"/>
      <c r="I513" s="28"/>
      <c r="J513" s="28"/>
      <c r="K513" s="36"/>
      <c r="L513" s="28"/>
      <c r="M513" s="28"/>
      <c r="N513" s="28"/>
      <c r="O513" s="28"/>
      <c r="P513" s="28"/>
      <c r="Q513" s="36"/>
      <c r="R513" s="36"/>
      <c r="S513" s="36"/>
      <c r="T513" s="36"/>
      <c r="U513" s="36"/>
      <c r="V513" s="36"/>
      <c r="W513" s="36"/>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c r="BE513" s="28"/>
      <c r="BF513" s="28"/>
      <c r="BG513" s="28"/>
      <c r="BH513" s="28"/>
      <c r="BI513" s="28"/>
      <c r="BJ513" s="28"/>
      <c r="BK513" s="28"/>
      <c r="BL513" s="28"/>
      <c r="BM513" s="28"/>
      <c r="BN513" s="28"/>
      <c r="BO513" s="28"/>
      <c r="BP513" s="28"/>
      <c r="BQ513" s="28"/>
      <c r="BR513" s="28"/>
      <c r="BS513" s="28"/>
      <c r="BT513" s="28"/>
      <c r="BU513" s="28"/>
      <c r="BV513" s="28"/>
      <c r="BW513" s="28"/>
      <c r="BX513" s="28"/>
      <c r="BY513" s="28"/>
      <c r="BZ513" s="28"/>
      <c r="CA513" s="28"/>
      <c r="CB513" s="28"/>
      <c r="CC513" s="28"/>
      <c r="CD513" s="28"/>
      <c r="CE513" s="28"/>
      <c r="CF513" s="28"/>
      <c r="CG513" s="28"/>
    </row>
    <row r="514" spans="1:85" ht="12.75" x14ac:dyDescent="0.2">
      <c r="A514" s="28"/>
      <c r="B514" s="28"/>
      <c r="C514" s="28"/>
      <c r="D514" s="28"/>
      <c r="E514" s="28"/>
      <c r="F514" s="28"/>
      <c r="G514" s="28"/>
      <c r="H514" s="28"/>
      <c r="I514" s="28"/>
      <c r="J514" s="28"/>
      <c r="K514" s="36"/>
      <c r="L514" s="28"/>
      <c r="M514" s="28"/>
      <c r="N514" s="28"/>
      <c r="O514" s="28"/>
      <c r="P514" s="28"/>
      <c r="Q514" s="36"/>
      <c r="R514" s="36"/>
      <c r="S514" s="36"/>
      <c r="T514" s="36"/>
      <c r="U514" s="36"/>
      <c r="V514" s="36"/>
      <c r="W514" s="36"/>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8"/>
      <c r="BW514" s="28"/>
      <c r="BX514" s="28"/>
      <c r="BY514" s="28"/>
      <c r="BZ514" s="28"/>
      <c r="CA514" s="28"/>
      <c r="CB514" s="28"/>
      <c r="CC514" s="28"/>
      <c r="CD514" s="28"/>
      <c r="CE514" s="28"/>
      <c r="CF514" s="28"/>
      <c r="CG514" s="28"/>
    </row>
    <row r="515" spans="1:85" ht="12.75" x14ac:dyDescent="0.2">
      <c r="A515" s="28"/>
      <c r="B515" s="28"/>
      <c r="C515" s="28"/>
      <c r="D515" s="28"/>
      <c r="E515" s="28"/>
      <c r="F515" s="28"/>
      <c r="G515" s="28"/>
      <c r="H515" s="28"/>
      <c r="I515" s="28"/>
      <c r="J515" s="28"/>
      <c r="K515" s="36"/>
      <c r="L515" s="28"/>
      <c r="M515" s="28"/>
      <c r="N515" s="28"/>
      <c r="O515" s="28"/>
      <c r="P515" s="28"/>
      <c r="Q515" s="36"/>
      <c r="R515" s="36"/>
      <c r="S515" s="36"/>
      <c r="T515" s="36"/>
      <c r="U515" s="36"/>
      <c r="V515" s="36"/>
      <c r="W515" s="36"/>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c r="BE515" s="28"/>
      <c r="BF515" s="28"/>
      <c r="BG515" s="28"/>
      <c r="BH515" s="28"/>
      <c r="BI515" s="28"/>
      <c r="BJ515" s="28"/>
      <c r="BK515" s="28"/>
      <c r="BL515" s="28"/>
      <c r="BM515" s="28"/>
      <c r="BN515" s="28"/>
      <c r="BO515" s="28"/>
      <c r="BP515" s="28"/>
      <c r="BQ515" s="28"/>
      <c r="BR515" s="28"/>
      <c r="BS515" s="28"/>
      <c r="BT515" s="28"/>
      <c r="BU515" s="28"/>
      <c r="BV515" s="28"/>
      <c r="BW515" s="28"/>
      <c r="BX515" s="28"/>
      <c r="BY515" s="28"/>
      <c r="BZ515" s="28"/>
      <c r="CA515" s="28"/>
      <c r="CB515" s="28"/>
      <c r="CC515" s="28"/>
      <c r="CD515" s="28"/>
      <c r="CE515" s="28"/>
      <c r="CF515" s="28"/>
      <c r="CG515" s="28"/>
    </row>
    <row r="516" spans="1:85" ht="12.75" x14ac:dyDescent="0.2">
      <c r="A516" s="28"/>
      <c r="B516" s="28"/>
      <c r="C516" s="28"/>
      <c r="D516" s="28"/>
      <c r="E516" s="28"/>
      <c r="F516" s="28"/>
      <c r="G516" s="28"/>
      <c r="H516" s="28"/>
      <c r="I516" s="28"/>
      <c r="J516" s="28"/>
      <c r="K516" s="36"/>
      <c r="L516" s="28"/>
      <c r="M516" s="28"/>
      <c r="N516" s="28"/>
      <c r="O516" s="28"/>
      <c r="P516" s="28"/>
      <c r="Q516" s="36"/>
      <c r="R516" s="36"/>
      <c r="S516" s="36"/>
      <c r="T516" s="36"/>
      <c r="U516" s="36"/>
      <c r="V516" s="36"/>
      <c r="W516" s="36"/>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8"/>
      <c r="BW516" s="28"/>
      <c r="BX516" s="28"/>
      <c r="BY516" s="28"/>
      <c r="BZ516" s="28"/>
      <c r="CA516" s="28"/>
      <c r="CB516" s="28"/>
      <c r="CC516" s="28"/>
      <c r="CD516" s="28"/>
      <c r="CE516" s="28"/>
      <c r="CF516" s="28"/>
      <c r="CG516" s="28"/>
    </row>
    <row r="517" spans="1:85" ht="12.75" x14ac:dyDescent="0.2">
      <c r="A517" s="28"/>
      <c r="B517" s="28"/>
      <c r="C517" s="28"/>
      <c r="D517" s="28"/>
      <c r="E517" s="28"/>
      <c r="F517" s="28"/>
      <c r="G517" s="28"/>
      <c r="H517" s="28"/>
      <c r="I517" s="28"/>
      <c r="J517" s="28"/>
      <c r="K517" s="36"/>
      <c r="L517" s="28"/>
      <c r="M517" s="28"/>
      <c r="N517" s="28"/>
      <c r="O517" s="28"/>
      <c r="P517" s="28"/>
      <c r="Q517" s="36"/>
      <c r="R517" s="36"/>
      <c r="S517" s="36"/>
      <c r="T517" s="36"/>
      <c r="U517" s="36"/>
      <c r="V517" s="36"/>
      <c r="W517" s="36"/>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c r="BE517" s="28"/>
      <c r="BF517" s="28"/>
      <c r="BG517" s="28"/>
      <c r="BH517" s="28"/>
      <c r="BI517" s="28"/>
      <c r="BJ517" s="28"/>
      <c r="BK517" s="28"/>
      <c r="BL517" s="28"/>
      <c r="BM517" s="28"/>
      <c r="BN517" s="28"/>
      <c r="BO517" s="28"/>
      <c r="BP517" s="28"/>
      <c r="BQ517" s="28"/>
      <c r="BR517" s="28"/>
      <c r="BS517" s="28"/>
      <c r="BT517" s="28"/>
      <c r="BU517" s="28"/>
      <c r="BV517" s="28"/>
      <c r="BW517" s="28"/>
      <c r="BX517" s="28"/>
      <c r="BY517" s="28"/>
      <c r="BZ517" s="28"/>
      <c r="CA517" s="28"/>
      <c r="CB517" s="28"/>
      <c r="CC517" s="28"/>
      <c r="CD517" s="28"/>
      <c r="CE517" s="28"/>
      <c r="CF517" s="28"/>
      <c r="CG517" s="28"/>
    </row>
    <row r="518" spans="1:85" ht="12.75" x14ac:dyDescent="0.2">
      <c r="A518" s="28"/>
      <c r="B518" s="28"/>
      <c r="C518" s="28"/>
      <c r="D518" s="28"/>
      <c r="E518" s="28"/>
      <c r="F518" s="28"/>
      <c r="G518" s="28"/>
      <c r="H518" s="28"/>
      <c r="I518" s="28"/>
      <c r="J518" s="28"/>
      <c r="K518" s="36"/>
      <c r="L518" s="28"/>
      <c r="M518" s="28"/>
      <c r="N518" s="28"/>
      <c r="O518" s="28"/>
      <c r="P518" s="28"/>
      <c r="Q518" s="36"/>
      <c r="R518" s="36"/>
      <c r="S518" s="36"/>
      <c r="T518" s="36"/>
      <c r="U518" s="36"/>
      <c r="V518" s="36"/>
      <c r="W518" s="36"/>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8"/>
      <c r="BW518" s="28"/>
      <c r="BX518" s="28"/>
      <c r="BY518" s="28"/>
      <c r="BZ518" s="28"/>
      <c r="CA518" s="28"/>
      <c r="CB518" s="28"/>
      <c r="CC518" s="28"/>
      <c r="CD518" s="28"/>
      <c r="CE518" s="28"/>
      <c r="CF518" s="28"/>
      <c r="CG518" s="28"/>
    </row>
    <row r="519" spans="1:85" ht="12.75" x14ac:dyDescent="0.2">
      <c r="A519" s="28"/>
      <c r="B519" s="28"/>
      <c r="C519" s="28"/>
      <c r="D519" s="28"/>
      <c r="E519" s="28"/>
      <c r="F519" s="28"/>
      <c r="G519" s="28"/>
      <c r="H519" s="28"/>
      <c r="I519" s="28"/>
      <c r="J519" s="28"/>
      <c r="K519" s="36"/>
      <c r="L519" s="28"/>
      <c r="M519" s="28"/>
      <c r="N519" s="28"/>
      <c r="O519" s="28"/>
      <c r="P519" s="28"/>
      <c r="Q519" s="36"/>
      <c r="R519" s="36"/>
      <c r="S519" s="36"/>
      <c r="T519" s="36"/>
      <c r="U519" s="36"/>
      <c r="V519" s="36"/>
      <c r="W519" s="36"/>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c r="BE519" s="28"/>
      <c r="BF519" s="28"/>
      <c r="BG519" s="28"/>
      <c r="BH519" s="28"/>
      <c r="BI519" s="28"/>
      <c r="BJ519" s="28"/>
      <c r="BK519" s="28"/>
      <c r="BL519" s="28"/>
      <c r="BM519" s="28"/>
      <c r="BN519" s="28"/>
      <c r="BO519" s="28"/>
      <c r="BP519" s="28"/>
      <c r="BQ519" s="28"/>
      <c r="BR519" s="28"/>
      <c r="BS519" s="28"/>
      <c r="BT519" s="28"/>
      <c r="BU519" s="28"/>
      <c r="BV519" s="28"/>
      <c r="BW519" s="28"/>
      <c r="BX519" s="28"/>
      <c r="BY519" s="28"/>
      <c r="BZ519" s="28"/>
      <c r="CA519" s="28"/>
      <c r="CB519" s="28"/>
      <c r="CC519" s="28"/>
      <c r="CD519" s="28"/>
      <c r="CE519" s="28"/>
      <c r="CF519" s="28"/>
      <c r="CG519" s="28"/>
    </row>
    <row r="520" spans="1:85" ht="12.75" x14ac:dyDescent="0.2">
      <c r="A520" s="28"/>
      <c r="B520" s="28"/>
      <c r="C520" s="28"/>
      <c r="D520" s="28"/>
      <c r="E520" s="28"/>
      <c r="F520" s="28"/>
      <c r="G520" s="28"/>
      <c r="H520" s="28"/>
      <c r="I520" s="28"/>
      <c r="J520" s="28"/>
      <c r="K520" s="36"/>
      <c r="L520" s="28"/>
      <c r="M520" s="28"/>
      <c r="N520" s="28"/>
      <c r="O520" s="28"/>
      <c r="P520" s="28"/>
      <c r="Q520" s="36"/>
      <c r="R520" s="36"/>
      <c r="S520" s="36"/>
      <c r="T520" s="36"/>
      <c r="U520" s="36"/>
      <c r="V520" s="36"/>
      <c r="W520" s="36"/>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8"/>
      <c r="BW520" s="28"/>
      <c r="BX520" s="28"/>
      <c r="BY520" s="28"/>
      <c r="BZ520" s="28"/>
      <c r="CA520" s="28"/>
      <c r="CB520" s="28"/>
      <c r="CC520" s="28"/>
      <c r="CD520" s="28"/>
      <c r="CE520" s="28"/>
      <c r="CF520" s="28"/>
      <c r="CG520" s="28"/>
    </row>
    <row r="521" spans="1:85" ht="12.75" x14ac:dyDescent="0.2">
      <c r="A521" s="28"/>
      <c r="B521" s="28"/>
      <c r="C521" s="28"/>
      <c r="D521" s="28"/>
      <c r="E521" s="28"/>
      <c r="F521" s="28"/>
      <c r="G521" s="28"/>
      <c r="H521" s="28"/>
      <c r="I521" s="28"/>
      <c r="J521" s="28"/>
      <c r="K521" s="36"/>
      <c r="L521" s="28"/>
      <c r="M521" s="28"/>
      <c r="N521" s="28"/>
      <c r="O521" s="28"/>
      <c r="P521" s="28"/>
      <c r="Q521" s="36"/>
      <c r="R521" s="36"/>
      <c r="S521" s="36"/>
      <c r="T521" s="36"/>
      <c r="U521" s="36"/>
      <c r="V521" s="36"/>
      <c r="W521" s="36"/>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c r="BE521" s="28"/>
      <c r="BF521" s="28"/>
      <c r="BG521" s="28"/>
      <c r="BH521" s="28"/>
      <c r="BI521" s="28"/>
      <c r="BJ521" s="28"/>
      <c r="BK521" s="28"/>
      <c r="BL521" s="28"/>
      <c r="BM521" s="28"/>
      <c r="BN521" s="28"/>
      <c r="BO521" s="28"/>
      <c r="BP521" s="28"/>
      <c r="BQ521" s="28"/>
      <c r="BR521" s="28"/>
      <c r="BS521" s="28"/>
      <c r="BT521" s="28"/>
      <c r="BU521" s="28"/>
      <c r="BV521" s="28"/>
      <c r="BW521" s="28"/>
      <c r="BX521" s="28"/>
      <c r="BY521" s="28"/>
      <c r="BZ521" s="28"/>
      <c r="CA521" s="28"/>
      <c r="CB521" s="28"/>
      <c r="CC521" s="28"/>
      <c r="CD521" s="28"/>
      <c r="CE521" s="28"/>
      <c r="CF521" s="28"/>
      <c r="CG521" s="28"/>
    </row>
    <row r="522" spans="1:85" ht="12.75" x14ac:dyDescent="0.2">
      <c r="A522" s="28"/>
      <c r="B522" s="28"/>
      <c r="C522" s="28"/>
      <c r="D522" s="28"/>
      <c r="E522" s="28"/>
      <c r="F522" s="28"/>
      <c r="G522" s="28"/>
      <c r="H522" s="28"/>
      <c r="I522" s="28"/>
      <c r="J522" s="28"/>
      <c r="K522" s="36"/>
      <c r="L522" s="28"/>
      <c r="M522" s="28"/>
      <c r="N522" s="28"/>
      <c r="O522" s="28"/>
      <c r="P522" s="28"/>
      <c r="Q522" s="36"/>
      <c r="R522" s="36"/>
      <c r="S522" s="36"/>
      <c r="T522" s="36"/>
      <c r="U522" s="36"/>
      <c r="V522" s="36"/>
      <c r="W522" s="36"/>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8"/>
      <c r="BW522" s="28"/>
      <c r="BX522" s="28"/>
      <c r="BY522" s="28"/>
      <c r="BZ522" s="28"/>
      <c r="CA522" s="28"/>
      <c r="CB522" s="28"/>
      <c r="CC522" s="28"/>
      <c r="CD522" s="28"/>
      <c r="CE522" s="28"/>
      <c r="CF522" s="28"/>
      <c r="CG522" s="28"/>
    </row>
    <row r="523" spans="1:85" ht="12.75" x14ac:dyDescent="0.2">
      <c r="A523" s="28"/>
      <c r="B523" s="28"/>
      <c r="C523" s="28"/>
      <c r="D523" s="28"/>
      <c r="E523" s="28"/>
      <c r="F523" s="28"/>
      <c r="G523" s="28"/>
      <c r="H523" s="28"/>
      <c r="I523" s="28"/>
      <c r="J523" s="28"/>
      <c r="K523" s="36"/>
      <c r="L523" s="28"/>
      <c r="M523" s="28"/>
      <c r="N523" s="28"/>
      <c r="O523" s="28"/>
      <c r="P523" s="28"/>
      <c r="Q523" s="36"/>
      <c r="R523" s="36"/>
      <c r="S523" s="36"/>
      <c r="T523" s="36"/>
      <c r="U523" s="36"/>
      <c r="V523" s="36"/>
      <c r="W523" s="36"/>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c r="BE523" s="28"/>
      <c r="BF523" s="28"/>
      <c r="BG523" s="28"/>
      <c r="BH523" s="28"/>
      <c r="BI523" s="28"/>
      <c r="BJ523" s="28"/>
      <c r="BK523" s="28"/>
      <c r="BL523" s="28"/>
      <c r="BM523" s="28"/>
      <c r="BN523" s="28"/>
      <c r="BO523" s="28"/>
      <c r="BP523" s="28"/>
      <c r="BQ523" s="28"/>
      <c r="BR523" s="28"/>
      <c r="BS523" s="28"/>
      <c r="BT523" s="28"/>
      <c r="BU523" s="28"/>
      <c r="BV523" s="28"/>
      <c r="BW523" s="28"/>
      <c r="BX523" s="28"/>
      <c r="BY523" s="28"/>
      <c r="BZ523" s="28"/>
      <c r="CA523" s="28"/>
      <c r="CB523" s="28"/>
      <c r="CC523" s="28"/>
      <c r="CD523" s="28"/>
      <c r="CE523" s="28"/>
      <c r="CF523" s="28"/>
      <c r="CG523" s="28"/>
    </row>
    <row r="524" spans="1:85" ht="12.75" x14ac:dyDescent="0.2">
      <c r="A524" s="28"/>
      <c r="B524" s="28"/>
      <c r="C524" s="28"/>
      <c r="D524" s="28"/>
      <c r="E524" s="28"/>
      <c r="F524" s="28"/>
      <c r="G524" s="28"/>
      <c r="H524" s="28"/>
      <c r="I524" s="28"/>
      <c r="J524" s="28"/>
      <c r="K524" s="36"/>
      <c r="L524" s="28"/>
      <c r="M524" s="28"/>
      <c r="N524" s="28"/>
      <c r="O524" s="28"/>
      <c r="P524" s="28"/>
      <c r="Q524" s="36"/>
      <c r="R524" s="36"/>
      <c r="S524" s="36"/>
      <c r="T524" s="36"/>
      <c r="U524" s="36"/>
      <c r="V524" s="36"/>
      <c r="W524" s="36"/>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8"/>
      <c r="BW524" s="28"/>
      <c r="BX524" s="28"/>
      <c r="BY524" s="28"/>
      <c r="BZ524" s="28"/>
      <c r="CA524" s="28"/>
      <c r="CB524" s="28"/>
      <c r="CC524" s="28"/>
      <c r="CD524" s="28"/>
      <c r="CE524" s="28"/>
      <c r="CF524" s="28"/>
      <c r="CG524" s="28"/>
    </row>
    <row r="525" spans="1:85" ht="12.75" x14ac:dyDescent="0.2">
      <c r="A525" s="28"/>
      <c r="B525" s="28"/>
      <c r="C525" s="28"/>
      <c r="D525" s="28"/>
      <c r="E525" s="28"/>
      <c r="F525" s="28"/>
      <c r="G525" s="28"/>
      <c r="H525" s="28"/>
      <c r="I525" s="28"/>
      <c r="J525" s="28"/>
      <c r="K525" s="36"/>
      <c r="L525" s="28"/>
      <c r="M525" s="28"/>
      <c r="N525" s="28"/>
      <c r="O525" s="28"/>
      <c r="P525" s="28"/>
      <c r="Q525" s="36"/>
      <c r="R525" s="36"/>
      <c r="S525" s="36"/>
      <c r="T525" s="36"/>
      <c r="U525" s="36"/>
      <c r="V525" s="36"/>
      <c r="W525" s="36"/>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c r="BE525" s="28"/>
      <c r="BF525" s="28"/>
      <c r="BG525" s="28"/>
      <c r="BH525" s="28"/>
      <c r="BI525" s="28"/>
      <c r="BJ525" s="28"/>
      <c r="BK525" s="28"/>
      <c r="BL525" s="28"/>
      <c r="BM525" s="28"/>
      <c r="BN525" s="28"/>
      <c r="BO525" s="28"/>
      <c r="BP525" s="28"/>
      <c r="BQ525" s="28"/>
      <c r="BR525" s="28"/>
      <c r="BS525" s="28"/>
      <c r="BT525" s="28"/>
      <c r="BU525" s="28"/>
      <c r="BV525" s="28"/>
      <c r="BW525" s="28"/>
      <c r="BX525" s="28"/>
      <c r="BY525" s="28"/>
      <c r="BZ525" s="28"/>
      <c r="CA525" s="28"/>
      <c r="CB525" s="28"/>
      <c r="CC525" s="28"/>
      <c r="CD525" s="28"/>
      <c r="CE525" s="28"/>
      <c r="CF525" s="28"/>
      <c r="CG525" s="28"/>
    </row>
    <row r="526" spans="1:85" ht="12.75" x14ac:dyDescent="0.2">
      <c r="A526" s="28"/>
      <c r="B526" s="28"/>
      <c r="C526" s="28"/>
      <c r="D526" s="28"/>
      <c r="E526" s="28"/>
      <c r="F526" s="28"/>
      <c r="G526" s="28"/>
      <c r="H526" s="28"/>
      <c r="I526" s="28"/>
      <c r="J526" s="28"/>
      <c r="K526" s="36"/>
      <c r="L526" s="28"/>
      <c r="M526" s="28"/>
      <c r="N526" s="28"/>
      <c r="O526" s="28"/>
      <c r="P526" s="28"/>
      <c r="Q526" s="36"/>
      <c r="R526" s="36"/>
      <c r="S526" s="36"/>
      <c r="T526" s="36"/>
      <c r="U526" s="36"/>
      <c r="V526" s="36"/>
      <c r="W526" s="36"/>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8"/>
      <c r="BW526" s="28"/>
      <c r="BX526" s="28"/>
      <c r="BY526" s="28"/>
      <c r="BZ526" s="28"/>
      <c r="CA526" s="28"/>
      <c r="CB526" s="28"/>
      <c r="CC526" s="28"/>
      <c r="CD526" s="28"/>
      <c r="CE526" s="28"/>
      <c r="CF526" s="28"/>
      <c r="CG526" s="28"/>
    </row>
    <row r="527" spans="1:85" ht="12.75" x14ac:dyDescent="0.2">
      <c r="A527" s="28"/>
      <c r="B527" s="28"/>
      <c r="C527" s="28"/>
      <c r="D527" s="28"/>
      <c r="E527" s="28"/>
      <c r="F527" s="28"/>
      <c r="G527" s="28"/>
      <c r="H527" s="28"/>
      <c r="I527" s="28"/>
      <c r="J527" s="28"/>
      <c r="K527" s="36"/>
      <c r="L527" s="28"/>
      <c r="M527" s="28"/>
      <c r="N527" s="28"/>
      <c r="O527" s="28"/>
      <c r="P527" s="28"/>
      <c r="Q527" s="36"/>
      <c r="R527" s="36"/>
      <c r="S527" s="36"/>
      <c r="T527" s="36"/>
      <c r="U527" s="36"/>
      <c r="V527" s="36"/>
      <c r="W527" s="36"/>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c r="BE527" s="28"/>
      <c r="BF527" s="28"/>
      <c r="BG527" s="28"/>
      <c r="BH527" s="28"/>
      <c r="BI527" s="28"/>
      <c r="BJ527" s="28"/>
      <c r="BK527" s="28"/>
      <c r="BL527" s="28"/>
      <c r="BM527" s="28"/>
      <c r="BN527" s="28"/>
      <c r="BO527" s="28"/>
      <c r="BP527" s="28"/>
      <c r="BQ527" s="28"/>
      <c r="BR527" s="28"/>
      <c r="BS527" s="28"/>
      <c r="BT527" s="28"/>
      <c r="BU527" s="28"/>
      <c r="BV527" s="28"/>
      <c r="BW527" s="28"/>
      <c r="BX527" s="28"/>
      <c r="BY527" s="28"/>
      <c r="BZ527" s="28"/>
      <c r="CA527" s="28"/>
      <c r="CB527" s="28"/>
      <c r="CC527" s="28"/>
      <c r="CD527" s="28"/>
      <c r="CE527" s="28"/>
      <c r="CF527" s="28"/>
      <c r="CG527" s="28"/>
    </row>
    <row r="528" spans="1:85" ht="12.75" x14ac:dyDescent="0.2">
      <c r="A528" s="28"/>
      <c r="B528" s="28"/>
      <c r="C528" s="28"/>
      <c r="D528" s="28"/>
      <c r="E528" s="28"/>
      <c r="F528" s="28"/>
      <c r="G528" s="28"/>
      <c r="H528" s="28"/>
      <c r="I528" s="28"/>
      <c r="J528" s="28"/>
      <c r="K528" s="36"/>
      <c r="L528" s="28"/>
      <c r="M528" s="28"/>
      <c r="N528" s="28"/>
      <c r="O528" s="28"/>
      <c r="P528" s="28"/>
      <c r="Q528" s="36"/>
      <c r="R528" s="36"/>
      <c r="S528" s="36"/>
      <c r="T528" s="36"/>
      <c r="U528" s="36"/>
      <c r="V528" s="36"/>
      <c r="W528" s="36"/>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8"/>
      <c r="BW528" s="28"/>
      <c r="BX528" s="28"/>
      <c r="BY528" s="28"/>
      <c r="BZ528" s="28"/>
      <c r="CA528" s="28"/>
      <c r="CB528" s="28"/>
      <c r="CC528" s="28"/>
      <c r="CD528" s="28"/>
      <c r="CE528" s="28"/>
      <c r="CF528" s="28"/>
      <c r="CG528" s="28"/>
    </row>
    <row r="529" spans="1:85" ht="12.75" x14ac:dyDescent="0.2">
      <c r="A529" s="28"/>
      <c r="B529" s="28"/>
      <c r="C529" s="28"/>
      <c r="D529" s="28"/>
      <c r="E529" s="28"/>
      <c r="F529" s="28"/>
      <c r="G529" s="28"/>
      <c r="H529" s="28"/>
      <c r="I529" s="28"/>
      <c r="J529" s="28"/>
      <c r="K529" s="36"/>
      <c r="L529" s="28"/>
      <c r="M529" s="28"/>
      <c r="N529" s="28"/>
      <c r="O529" s="28"/>
      <c r="P529" s="28"/>
      <c r="Q529" s="36"/>
      <c r="R529" s="36"/>
      <c r="S529" s="36"/>
      <c r="T529" s="36"/>
      <c r="U529" s="36"/>
      <c r="V529" s="36"/>
      <c r="W529" s="36"/>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c r="BE529" s="28"/>
      <c r="BF529" s="28"/>
      <c r="BG529" s="28"/>
      <c r="BH529" s="28"/>
      <c r="BI529" s="28"/>
      <c r="BJ529" s="28"/>
      <c r="BK529" s="28"/>
      <c r="BL529" s="28"/>
      <c r="BM529" s="28"/>
      <c r="BN529" s="28"/>
      <c r="BO529" s="28"/>
      <c r="BP529" s="28"/>
      <c r="BQ529" s="28"/>
      <c r="BR529" s="28"/>
      <c r="BS529" s="28"/>
      <c r="BT529" s="28"/>
      <c r="BU529" s="28"/>
      <c r="BV529" s="28"/>
      <c r="BW529" s="28"/>
      <c r="BX529" s="28"/>
      <c r="BY529" s="28"/>
      <c r="BZ529" s="28"/>
      <c r="CA529" s="28"/>
      <c r="CB529" s="28"/>
      <c r="CC529" s="28"/>
      <c r="CD529" s="28"/>
      <c r="CE529" s="28"/>
      <c r="CF529" s="28"/>
      <c r="CG529" s="28"/>
    </row>
    <row r="530" spans="1:85" ht="12.75" x14ac:dyDescent="0.2">
      <c r="A530" s="28"/>
      <c r="B530" s="28"/>
      <c r="C530" s="28"/>
      <c r="D530" s="28"/>
      <c r="E530" s="28"/>
      <c r="F530" s="28"/>
      <c r="G530" s="28"/>
      <c r="H530" s="28"/>
      <c r="I530" s="28"/>
      <c r="J530" s="28"/>
      <c r="K530" s="36"/>
      <c r="L530" s="28"/>
      <c r="M530" s="28"/>
      <c r="N530" s="28"/>
      <c r="O530" s="28"/>
      <c r="P530" s="28"/>
      <c r="Q530" s="36"/>
      <c r="R530" s="36"/>
      <c r="S530" s="36"/>
      <c r="T530" s="36"/>
      <c r="U530" s="36"/>
      <c r="V530" s="36"/>
      <c r="W530" s="36"/>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8"/>
      <c r="BW530" s="28"/>
      <c r="BX530" s="28"/>
      <c r="BY530" s="28"/>
      <c r="BZ530" s="28"/>
      <c r="CA530" s="28"/>
      <c r="CB530" s="28"/>
      <c r="CC530" s="28"/>
      <c r="CD530" s="28"/>
      <c r="CE530" s="28"/>
      <c r="CF530" s="28"/>
      <c r="CG530" s="28"/>
    </row>
    <row r="531" spans="1:85" ht="12.75" x14ac:dyDescent="0.2">
      <c r="A531" s="28"/>
      <c r="B531" s="28"/>
      <c r="C531" s="28"/>
      <c r="D531" s="28"/>
      <c r="E531" s="28"/>
      <c r="F531" s="28"/>
      <c r="G531" s="28"/>
      <c r="H531" s="28"/>
      <c r="I531" s="28"/>
      <c r="J531" s="28"/>
      <c r="K531" s="36"/>
      <c r="L531" s="28"/>
      <c r="M531" s="28"/>
      <c r="N531" s="28"/>
      <c r="O531" s="28"/>
      <c r="P531" s="28"/>
      <c r="Q531" s="36"/>
      <c r="R531" s="36"/>
      <c r="S531" s="36"/>
      <c r="T531" s="36"/>
      <c r="U531" s="36"/>
      <c r="V531" s="36"/>
      <c r="W531" s="36"/>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c r="BE531" s="28"/>
      <c r="BF531" s="28"/>
      <c r="BG531" s="28"/>
      <c r="BH531" s="28"/>
      <c r="BI531" s="28"/>
      <c r="BJ531" s="28"/>
      <c r="BK531" s="28"/>
      <c r="BL531" s="28"/>
      <c r="BM531" s="28"/>
      <c r="BN531" s="28"/>
      <c r="BO531" s="28"/>
      <c r="BP531" s="28"/>
      <c r="BQ531" s="28"/>
      <c r="BR531" s="28"/>
      <c r="BS531" s="28"/>
      <c r="BT531" s="28"/>
      <c r="BU531" s="28"/>
      <c r="BV531" s="28"/>
      <c r="BW531" s="28"/>
      <c r="BX531" s="28"/>
      <c r="BY531" s="28"/>
      <c r="BZ531" s="28"/>
      <c r="CA531" s="28"/>
      <c r="CB531" s="28"/>
      <c r="CC531" s="28"/>
      <c r="CD531" s="28"/>
      <c r="CE531" s="28"/>
      <c r="CF531" s="28"/>
      <c r="CG531" s="28"/>
    </row>
    <row r="532" spans="1:85" ht="12.75" x14ac:dyDescent="0.2">
      <c r="A532" s="28"/>
      <c r="B532" s="28"/>
      <c r="C532" s="28"/>
      <c r="D532" s="28"/>
      <c r="E532" s="28"/>
      <c r="F532" s="28"/>
      <c r="G532" s="28"/>
      <c r="H532" s="28"/>
      <c r="I532" s="28"/>
      <c r="J532" s="28"/>
      <c r="K532" s="36"/>
      <c r="L532" s="28"/>
      <c r="M532" s="28"/>
      <c r="N532" s="28"/>
      <c r="O532" s="28"/>
      <c r="P532" s="28"/>
      <c r="Q532" s="36"/>
      <c r="R532" s="36"/>
      <c r="S532" s="36"/>
      <c r="T532" s="36"/>
      <c r="U532" s="36"/>
      <c r="V532" s="36"/>
      <c r="W532" s="36"/>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8"/>
      <c r="BW532" s="28"/>
      <c r="BX532" s="28"/>
      <c r="BY532" s="28"/>
      <c r="BZ532" s="28"/>
      <c r="CA532" s="28"/>
      <c r="CB532" s="28"/>
      <c r="CC532" s="28"/>
      <c r="CD532" s="28"/>
      <c r="CE532" s="28"/>
      <c r="CF532" s="28"/>
      <c r="CG532" s="28"/>
    </row>
    <row r="533" spans="1:85" ht="12.75" x14ac:dyDescent="0.2">
      <c r="A533" s="28"/>
      <c r="B533" s="28"/>
      <c r="C533" s="28"/>
      <c r="D533" s="28"/>
      <c r="E533" s="28"/>
      <c r="F533" s="28"/>
      <c r="G533" s="28"/>
      <c r="H533" s="28"/>
      <c r="I533" s="28"/>
      <c r="J533" s="28"/>
      <c r="K533" s="36"/>
      <c r="L533" s="28"/>
      <c r="M533" s="28"/>
      <c r="N533" s="28"/>
      <c r="O533" s="28"/>
      <c r="P533" s="28"/>
      <c r="Q533" s="36"/>
      <c r="R533" s="36"/>
      <c r="S533" s="36"/>
      <c r="T533" s="36"/>
      <c r="U533" s="36"/>
      <c r="V533" s="36"/>
      <c r="W533" s="36"/>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c r="BE533" s="28"/>
      <c r="BF533" s="28"/>
      <c r="BG533" s="28"/>
      <c r="BH533" s="28"/>
      <c r="BI533" s="28"/>
      <c r="BJ533" s="28"/>
      <c r="BK533" s="28"/>
      <c r="BL533" s="28"/>
      <c r="BM533" s="28"/>
      <c r="BN533" s="28"/>
      <c r="BO533" s="28"/>
      <c r="BP533" s="28"/>
      <c r="BQ533" s="28"/>
      <c r="BR533" s="28"/>
      <c r="BS533" s="28"/>
      <c r="BT533" s="28"/>
      <c r="BU533" s="28"/>
      <c r="BV533" s="28"/>
      <c r="BW533" s="28"/>
      <c r="BX533" s="28"/>
      <c r="BY533" s="28"/>
      <c r="BZ533" s="28"/>
      <c r="CA533" s="28"/>
      <c r="CB533" s="28"/>
      <c r="CC533" s="28"/>
      <c r="CD533" s="28"/>
      <c r="CE533" s="28"/>
      <c r="CF533" s="28"/>
      <c r="CG533" s="28"/>
    </row>
    <row r="534" spans="1:85" ht="12.75" x14ac:dyDescent="0.2">
      <c r="A534" s="28"/>
      <c r="B534" s="28"/>
      <c r="C534" s="28"/>
      <c r="D534" s="28"/>
      <c r="E534" s="28"/>
      <c r="F534" s="28"/>
      <c r="G534" s="28"/>
      <c r="H534" s="28"/>
      <c r="I534" s="28"/>
      <c r="J534" s="28"/>
      <c r="K534" s="36"/>
      <c r="L534" s="28"/>
      <c r="M534" s="28"/>
      <c r="N534" s="28"/>
      <c r="O534" s="28"/>
      <c r="P534" s="28"/>
      <c r="Q534" s="36"/>
      <c r="R534" s="36"/>
      <c r="S534" s="36"/>
      <c r="T534" s="36"/>
      <c r="U534" s="36"/>
      <c r="V534" s="36"/>
      <c r="W534" s="36"/>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8"/>
      <c r="BW534" s="28"/>
      <c r="BX534" s="28"/>
      <c r="BY534" s="28"/>
      <c r="BZ534" s="28"/>
      <c r="CA534" s="28"/>
      <c r="CB534" s="28"/>
      <c r="CC534" s="28"/>
      <c r="CD534" s="28"/>
      <c r="CE534" s="28"/>
      <c r="CF534" s="28"/>
      <c r="CG534" s="28"/>
    </row>
    <row r="535" spans="1:85" ht="12.75" x14ac:dyDescent="0.2">
      <c r="A535" s="28"/>
      <c r="B535" s="28"/>
      <c r="C535" s="28"/>
      <c r="D535" s="28"/>
      <c r="E535" s="28"/>
      <c r="F535" s="28"/>
      <c r="G535" s="28"/>
      <c r="H535" s="28"/>
      <c r="I535" s="28"/>
      <c r="J535" s="28"/>
      <c r="K535" s="36"/>
      <c r="L535" s="28"/>
      <c r="M535" s="28"/>
      <c r="N535" s="28"/>
      <c r="O535" s="28"/>
      <c r="P535" s="28"/>
      <c r="Q535" s="36"/>
      <c r="R535" s="36"/>
      <c r="S535" s="36"/>
      <c r="T535" s="36"/>
      <c r="U535" s="36"/>
      <c r="V535" s="36"/>
      <c r="W535" s="36"/>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c r="BE535" s="28"/>
      <c r="BF535" s="28"/>
      <c r="BG535" s="28"/>
      <c r="BH535" s="28"/>
      <c r="BI535" s="28"/>
      <c r="BJ535" s="28"/>
      <c r="BK535" s="28"/>
      <c r="BL535" s="28"/>
      <c r="BM535" s="28"/>
      <c r="BN535" s="28"/>
      <c r="BO535" s="28"/>
      <c r="BP535" s="28"/>
      <c r="BQ535" s="28"/>
      <c r="BR535" s="28"/>
      <c r="BS535" s="28"/>
      <c r="BT535" s="28"/>
      <c r="BU535" s="28"/>
      <c r="BV535" s="28"/>
      <c r="BW535" s="28"/>
      <c r="BX535" s="28"/>
      <c r="BY535" s="28"/>
      <c r="BZ535" s="28"/>
      <c r="CA535" s="28"/>
      <c r="CB535" s="28"/>
      <c r="CC535" s="28"/>
      <c r="CD535" s="28"/>
      <c r="CE535" s="28"/>
      <c r="CF535" s="28"/>
      <c r="CG535" s="28"/>
    </row>
    <row r="536" spans="1:85" ht="12.75" x14ac:dyDescent="0.2">
      <c r="A536" s="28"/>
      <c r="B536" s="28"/>
      <c r="C536" s="28"/>
      <c r="D536" s="28"/>
      <c r="E536" s="28"/>
      <c r="F536" s="28"/>
      <c r="G536" s="28"/>
      <c r="H536" s="28"/>
      <c r="I536" s="28"/>
      <c r="J536" s="28"/>
      <c r="K536" s="36"/>
      <c r="L536" s="28"/>
      <c r="M536" s="28"/>
      <c r="N536" s="28"/>
      <c r="O536" s="28"/>
      <c r="P536" s="28"/>
      <c r="Q536" s="36"/>
      <c r="R536" s="36"/>
      <c r="S536" s="36"/>
      <c r="T536" s="36"/>
      <c r="U536" s="36"/>
      <c r="V536" s="36"/>
      <c r="W536" s="36"/>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8"/>
      <c r="BW536" s="28"/>
      <c r="BX536" s="28"/>
      <c r="BY536" s="28"/>
      <c r="BZ536" s="28"/>
      <c r="CA536" s="28"/>
      <c r="CB536" s="28"/>
      <c r="CC536" s="28"/>
      <c r="CD536" s="28"/>
      <c r="CE536" s="28"/>
      <c r="CF536" s="28"/>
      <c r="CG536" s="28"/>
    </row>
    <row r="537" spans="1:85" ht="12.75" x14ac:dyDescent="0.2">
      <c r="A537" s="28"/>
      <c r="B537" s="28"/>
      <c r="C537" s="28"/>
      <c r="D537" s="28"/>
      <c r="E537" s="28"/>
      <c r="F537" s="28"/>
      <c r="G537" s="28"/>
      <c r="H537" s="28"/>
      <c r="I537" s="28"/>
      <c r="J537" s="28"/>
      <c r="K537" s="36"/>
      <c r="L537" s="28"/>
      <c r="M537" s="28"/>
      <c r="N537" s="28"/>
      <c r="O537" s="28"/>
      <c r="P537" s="28"/>
      <c r="Q537" s="36"/>
      <c r="R537" s="36"/>
      <c r="S537" s="36"/>
      <c r="T537" s="36"/>
      <c r="U537" s="36"/>
      <c r="V537" s="36"/>
      <c r="W537" s="36"/>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c r="BE537" s="28"/>
      <c r="BF537" s="28"/>
      <c r="BG537" s="28"/>
      <c r="BH537" s="28"/>
      <c r="BI537" s="28"/>
      <c r="BJ537" s="28"/>
      <c r="BK537" s="28"/>
      <c r="BL537" s="28"/>
      <c r="BM537" s="28"/>
      <c r="BN537" s="28"/>
      <c r="BO537" s="28"/>
      <c r="BP537" s="28"/>
      <c r="BQ537" s="28"/>
      <c r="BR537" s="28"/>
      <c r="BS537" s="28"/>
      <c r="BT537" s="28"/>
      <c r="BU537" s="28"/>
      <c r="BV537" s="28"/>
      <c r="BW537" s="28"/>
      <c r="BX537" s="28"/>
      <c r="BY537" s="28"/>
      <c r="BZ537" s="28"/>
      <c r="CA537" s="28"/>
      <c r="CB537" s="28"/>
      <c r="CC537" s="28"/>
      <c r="CD537" s="28"/>
      <c r="CE537" s="28"/>
      <c r="CF537" s="28"/>
      <c r="CG537" s="28"/>
    </row>
    <row r="538" spans="1:85" ht="12.75" x14ac:dyDescent="0.2">
      <c r="A538" s="28"/>
      <c r="B538" s="28"/>
      <c r="C538" s="28"/>
      <c r="D538" s="28"/>
      <c r="E538" s="28"/>
      <c r="F538" s="28"/>
      <c r="G538" s="28"/>
      <c r="H538" s="28"/>
      <c r="I538" s="28"/>
      <c r="J538" s="28"/>
      <c r="K538" s="36"/>
      <c r="L538" s="28"/>
      <c r="M538" s="28"/>
      <c r="N538" s="28"/>
      <c r="O538" s="28"/>
      <c r="P538" s="28"/>
      <c r="Q538" s="36"/>
      <c r="R538" s="36"/>
      <c r="S538" s="36"/>
      <c r="T538" s="36"/>
      <c r="U538" s="36"/>
      <c r="V538" s="36"/>
      <c r="W538" s="36"/>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8"/>
      <c r="BW538" s="28"/>
      <c r="BX538" s="28"/>
      <c r="BY538" s="28"/>
      <c r="BZ538" s="28"/>
      <c r="CA538" s="28"/>
      <c r="CB538" s="28"/>
      <c r="CC538" s="28"/>
      <c r="CD538" s="28"/>
      <c r="CE538" s="28"/>
      <c r="CF538" s="28"/>
      <c r="CG538" s="28"/>
    </row>
    <row r="539" spans="1:85" ht="12.75" x14ac:dyDescent="0.2">
      <c r="A539" s="28"/>
      <c r="B539" s="28"/>
      <c r="C539" s="28"/>
      <c r="D539" s="28"/>
      <c r="E539" s="28"/>
      <c r="F539" s="28"/>
      <c r="G539" s="28"/>
      <c r="H539" s="28"/>
      <c r="I539" s="28"/>
      <c r="J539" s="28"/>
      <c r="K539" s="36"/>
      <c r="L539" s="28"/>
      <c r="M539" s="28"/>
      <c r="N539" s="28"/>
      <c r="O539" s="28"/>
      <c r="P539" s="28"/>
      <c r="Q539" s="36"/>
      <c r="R539" s="36"/>
      <c r="S539" s="36"/>
      <c r="T539" s="36"/>
      <c r="U539" s="36"/>
      <c r="V539" s="36"/>
      <c r="W539" s="36"/>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c r="BE539" s="28"/>
      <c r="BF539" s="28"/>
      <c r="BG539" s="28"/>
      <c r="BH539" s="28"/>
      <c r="BI539" s="28"/>
      <c r="BJ539" s="28"/>
      <c r="BK539" s="28"/>
      <c r="BL539" s="28"/>
      <c r="BM539" s="28"/>
      <c r="BN539" s="28"/>
      <c r="BO539" s="28"/>
      <c r="BP539" s="28"/>
      <c r="BQ539" s="28"/>
      <c r="BR539" s="28"/>
      <c r="BS539" s="28"/>
      <c r="BT539" s="28"/>
      <c r="BU539" s="28"/>
      <c r="BV539" s="28"/>
      <c r="BW539" s="28"/>
      <c r="BX539" s="28"/>
      <c r="BY539" s="28"/>
      <c r="BZ539" s="28"/>
      <c r="CA539" s="28"/>
      <c r="CB539" s="28"/>
      <c r="CC539" s="28"/>
      <c r="CD539" s="28"/>
      <c r="CE539" s="28"/>
      <c r="CF539" s="28"/>
      <c r="CG539" s="28"/>
    </row>
    <row r="540" spans="1:85" ht="12.75" x14ac:dyDescent="0.2">
      <c r="A540" s="28"/>
      <c r="B540" s="28"/>
      <c r="C540" s="28"/>
      <c r="D540" s="28"/>
      <c r="E540" s="28"/>
      <c r="F540" s="28"/>
      <c r="G540" s="28"/>
      <c r="H540" s="28"/>
      <c r="I540" s="28"/>
      <c r="J540" s="28"/>
      <c r="K540" s="36"/>
      <c r="L540" s="28"/>
      <c r="M540" s="28"/>
      <c r="N540" s="28"/>
      <c r="O540" s="28"/>
      <c r="P540" s="28"/>
      <c r="Q540" s="36"/>
      <c r="R540" s="36"/>
      <c r="S540" s="36"/>
      <c r="T540" s="36"/>
      <c r="U540" s="36"/>
      <c r="V540" s="36"/>
      <c r="W540" s="36"/>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8"/>
      <c r="BW540" s="28"/>
      <c r="BX540" s="28"/>
      <c r="BY540" s="28"/>
      <c r="BZ540" s="28"/>
      <c r="CA540" s="28"/>
      <c r="CB540" s="28"/>
      <c r="CC540" s="28"/>
      <c r="CD540" s="28"/>
      <c r="CE540" s="28"/>
      <c r="CF540" s="28"/>
      <c r="CG540" s="28"/>
    </row>
    <row r="541" spans="1:85" ht="12.75" x14ac:dyDescent="0.2">
      <c r="A541" s="28"/>
      <c r="B541" s="28"/>
      <c r="C541" s="28"/>
      <c r="D541" s="28"/>
      <c r="E541" s="28"/>
      <c r="F541" s="28"/>
      <c r="G541" s="28"/>
      <c r="H541" s="28"/>
      <c r="I541" s="28"/>
      <c r="J541" s="28"/>
      <c r="K541" s="36"/>
      <c r="L541" s="28"/>
      <c r="M541" s="28"/>
      <c r="N541" s="28"/>
      <c r="O541" s="28"/>
      <c r="P541" s="28"/>
      <c r="Q541" s="36"/>
      <c r="R541" s="36"/>
      <c r="S541" s="36"/>
      <c r="T541" s="36"/>
      <c r="U541" s="36"/>
      <c r="V541" s="36"/>
      <c r="W541" s="36"/>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c r="BE541" s="28"/>
      <c r="BF541" s="28"/>
      <c r="BG541" s="28"/>
      <c r="BH541" s="28"/>
      <c r="BI541" s="28"/>
      <c r="BJ541" s="28"/>
      <c r="BK541" s="28"/>
      <c r="BL541" s="28"/>
      <c r="BM541" s="28"/>
      <c r="BN541" s="28"/>
      <c r="BO541" s="28"/>
      <c r="BP541" s="28"/>
      <c r="BQ541" s="28"/>
      <c r="BR541" s="28"/>
      <c r="BS541" s="28"/>
      <c r="BT541" s="28"/>
      <c r="BU541" s="28"/>
      <c r="BV541" s="28"/>
      <c r="BW541" s="28"/>
      <c r="BX541" s="28"/>
      <c r="BY541" s="28"/>
      <c r="BZ541" s="28"/>
      <c r="CA541" s="28"/>
      <c r="CB541" s="28"/>
      <c r="CC541" s="28"/>
      <c r="CD541" s="28"/>
      <c r="CE541" s="28"/>
      <c r="CF541" s="28"/>
      <c r="CG541" s="28"/>
    </row>
    <row r="542" spans="1:85" ht="12.75" x14ac:dyDescent="0.2">
      <c r="A542" s="28"/>
      <c r="B542" s="28"/>
      <c r="C542" s="28"/>
      <c r="D542" s="28"/>
      <c r="E542" s="28"/>
      <c r="F542" s="28"/>
      <c r="G542" s="28"/>
      <c r="H542" s="28"/>
      <c r="I542" s="28"/>
      <c r="J542" s="28"/>
      <c r="K542" s="36"/>
      <c r="L542" s="28"/>
      <c r="M542" s="28"/>
      <c r="N542" s="28"/>
      <c r="O542" s="28"/>
      <c r="P542" s="28"/>
      <c r="Q542" s="36"/>
      <c r="R542" s="36"/>
      <c r="S542" s="36"/>
      <c r="T542" s="36"/>
      <c r="U542" s="36"/>
      <c r="V542" s="36"/>
      <c r="W542" s="36"/>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8"/>
      <c r="BW542" s="28"/>
      <c r="BX542" s="28"/>
      <c r="BY542" s="28"/>
      <c r="BZ542" s="28"/>
      <c r="CA542" s="28"/>
      <c r="CB542" s="28"/>
      <c r="CC542" s="28"/>
      <c r="CD542" s="28"/>
      <c r="CE542" s="28"/>
      <c r="CF542" s="28"/>
      <c r="CG542" s="28"/>
    </row>
    <row r="543" spans="1:85" ht="12.75" x14ac:dyDescent="0.2">
      <c r="A543" s="28"/>
      <c r="B543" s="28"/>
      <c r="C543" s="28"/>
      <c r="D543" s="28"/>
      <c r="E543" s="28"/>
      <c r="F543" s="28"/>
      <c r="G543" s="28"/>
      <c r="H543" s="28"/>
      <c r="I543" s="28"/>
      <c r="J543" s="28"/>
      <c r="K543" s="36"/>
      <c r="L543" s="28"/>
      <c r="M543" s="28"/>
      <c r="N543" s="28"/>
      <c r="O543" s="28"/>
      <c r="P543" s="28"/>
      <c r="Q543" s="36"/>
      <c r="R543" s="36"/>
      <c r="S543" s="36"/>
      <c r="T543" s="36"/>
      <c r="U543" s="36"/>
      <c r="V543" s="36"/>
      <c r="W543" s="36"/>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c r="BE543" s="28"/>
      <c r="BF543" s="28"/>
      <c r="BG543" s="28"/>
      <c r="BH543" s="28"/>
      <c r="BI543" s="28"/>
      <c r="BJ543" s="28"/>
      <c r="BK543" s="28"/>
      <c r="BL543" s="28"/>
      <c r="BM543" s="28"/>
      <c r="BN543" s="28"/>
      <c r="BO543" s="28"/>
      <c r="BP543" s="28"/>
      <c r="BQ543" s="28"/>
      <c r="BR543" s="28"/>
      <c r="BS543" s="28"/>
      <c r="BT543" s="28"/>
      <c r="BU543" s="28"/>
      <c r="BV543" s="28"/>
      <c r="BW543" s="28"/>
      <c r="BX543" s="28"/>
      <c r="BY543" s="28"/>
      <c r="BZ543" s="28"/>
      <c r="CA543" s="28"/>
      <c r="CB543" s="28"/>
      <c r="CC543" s="28"/>
      <c r="CD543" s="28"/>
      <c r="CE543" s="28"/>
      <c r="CF543" s="28"/>
      <c r="CG543" s="28"/>
    </row>
    <row r="544" spans="1:85" ht="12.75" x14ac:dyDescent="0.2">
      <c r="A544" s="28"/>
      <c r="B544" s="28"/>
      <c r="C544" s="28"/>
      <c r="D544" s="28"/>
      <c r="E544" s="28"/>
      <c r="F544" s="28"/>
      <c r="G544" s="28"/>
      <c r="H544" s="28"/>
      <c r="I544" s="28"/>
      <c r="J544" s="28"/>
      <c r="K544" s="36"/>
      <c r="L544" s="28"/>
      <c r="M544" s="28"/>
      <c r="N544" s="28"/>
      <c r="O544" s="28"/>
      <c r="P544" s="28"/>
      <c r="Q544" s="36"/>
      <c r="R544" s="36"/>
      <c r="S544" s="36"/>
      <c r="T544" s="36"/>
      <c r="U544" s="36"/>
      <c r="V544" s="36"/>
      <c r="W544" s="36"/>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8"/>
      <c r="BW544" s="28"/>
      <c r="BX544" s="28"/>
      <c r="BY544" s="28"/>
      <c r="BZ544" s="28"/>
      <c r="CA544" s="28"/>
      <c r="CB544" s="28"/>
      <c r="CC544" s="28"/>
      <c r="CD544" s="28"/>
      <c r="CE544" s="28"/>
      <c r="CF544" s="28"/>
      <c r="CG544" s="28"/>
    </row>
    <row r="545" spans="1:85" ht="12.75" x14ac:dyDescent="0.2">
      <c r="A545" s="28"/>
      <c r="B545" s="28"/>
      <c r="C545" s="28"/>
      <c r="D545" s="28"/>
      <c r="E545" s="28"/>
      <c r="F545" s="28"/>
      <c r="G545" s="28"/>
      <c r="H545" s="28"/>
      <c r="I545" s="28"/>
      <c r="J545" s="28"/>
      <c r="K545" s="36"/>
      <c r="L545" s="28"/>
      <c r="M545" s="28"/>
      <c r="N545" s="28"/>
      <c r="O545" s="28"/>
      <c r="P545" s="28"/>
      <c r="Q545" s="36"/>
      <c r="R545" s="36"/>
      <c r="S545" s="36"/>
      <c r="T545" s="36"/>
      <c r="U545" s="36"/>
      <c r="V545" s="36"/>
      <c r="W545" s="36"/>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c r="BE545" s="28"/>
      <c r="BF545" s="28"/>
      <c r="BG545" s="28"/>
      <c r="BH545" s="28"/>
      <c r="BI545" s="28"/>
      <c r="BJ545" s="28"/>
      <c r="BK545" s="28"/>
      <c r="BL545" s="28"/>
      <c r="BM545" s="28"/>
      <c r="BN545" s="28"/>
      <c r="BO545" s="28"/>
      <c r="BP545" s="28"/>
      <c r="BQ545" s="28"/>
      <c r="BR545" s="28"/>
      <c r="BS545" s="28"/>
      <c r="BT545" s="28"/>
      <c r="BU545" s="28"/>
      <c r="BV545" s="28"/>
      <c r="BW545" s="28"/>
      <c r="BX545" s="28"/>
      <c r="BY545" s="28"/>
      <c r="BZ545" s="28"/>
      <c r="CA545" s="28"/>
      <c r="CB545" s="28"/>
      <c r="CC545" s="28"/>
      <c r="CD545" s="28"/>
      <c r="CE545" s="28"/>
      <c r="CF545" s="28"/>
      <c r="CG545" s="28"/>
    </row>
    <row r="546" spans="1:85" ht="12.75" x14ac:dyDescent="0.2">
      <c r="A546" s="28"/>
      <c r="B546" s="28"/>
      <c r="C546" s="28"/>
      <c r="D546" s="28"/>
      <c r="E546" s="28"/>
      <c r="F546" s="28"/>
      <c r="G546" s="28"/>
      <c r="H546" s="28"/>
      <c r="I546" s="28"/>
      <c r="J546" s="28"/>
      <c r="K546" s="36"/>
      <c r="L546" s="28"/>
      <c r="M546" s="28"/>
      <c r="N546" s="28"/>
      <c r="O546" s="28"/>
      <c r="P546" s="28"/>
      <c r="Q546" s="36"/>
      <c r="R546" s="36"/>
      <c r="S546" s="36"/>
      <c r="T546" s="36"/>
      <c r="U546" s="36"/>
      <c r="V546" s="36"/>
      <c r="W546" s="36"/>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8"/>
      <c r="BW546" s="28"/>
      <c r="BX546" s="28"/>
      <c r="BY546" s="28"/>
      <c r="BZ546" s="28"/>
      <c r="CA546" s="28"/>
      <c r="CB546" s="28"/>
      <c r="CC546" s="28"/>
      <c r="CD546" s="28"/>
      <c r="CE546" s="28"/>
      <c r="CF546" s="28"/>
      <c r="CG546" s="28"/>
    </row>
    <row r="547" spans="1:85" ht="12.75" x14ac:dyDescent="0.2">
      <c r="A547" s="28"/>
      <c r="B547" s="28"/>
      <c r="C547" s="28"/>
      <c r="D547" s="28"/>
      <c r="E547" s="28"/>
      <c r="F547" s="28"/>
      <c r="G547" s="28"/>
      <c r="H547" s="28"/>
      <c r="I547" s="28"/>
      <c r="J547" s="28"/>
      <c r="K547" s="36"/>
      <c r="L547" s="28"/>
      <c r="M547" s="28"/>
      <c r="N547" s="28"/>
      <c r="O547" s="28"/>
      <c r="P547" s="28"/>
      <c r="Q547" s="36"/>
      <c r="R547" s="36"/>
      <c r="S547" s="36"/>
      <c r="T547" s="36"/>
      <c r="U547" s="36"/>
      <c r="V547" s="36"/>
      <c r="W547" s="36"/>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c r="BE547" s="28"/>
      <c r="BF547" s="28"/>
      <c r="BG547" s="28"/>
      <c r="BH547" s="28"/>
      <c r="BI547" s="28"/>
      <c r="BJ547" s="28"/>
      <c r="BK547" s="28"/>
      <c r="BL547" s="28"/>
      <c r="BM547" s="28"/>
      <c r="BN547" s="28"/>
      <c r="BO547" s="28"/>
      <c r="BP547" s="28"/>
      <c r="BQ547" s="28"/>
      <c r="BR547" s="28"/>
      <c r="BS547" s="28"/>
      <c r="BT547" s="28"/>
      <c r="BU547" s="28"/>
      <c r="BV547" s="28"/>
      <c r="BW547" s="28"/>
      <c r="BX547" s="28"/>
      <c r="BY547" s="28"/>
      <c r="BZ547" s="28"/>
      <c r="CA547" s="28"/>
      <c r="CB547" s="28"/>
      <c r="CC547" s="28"/>
      <c r="CD547" s="28"/>
      <c r="CE547" s="28"/>
      <c r="CF547" s="28"/>
      <c r="CG547" s="28"/>
    </row>
    <row r="548" spans="1:85" ht="12.75" x14ac:dyDescent="0.2">
      <c r="A548" s="28"/>
      <c r="B548" s="28"/>
      <c r="C548" s="28"/>
      <c r="D548" s="28"/>
      <c r="E548" s="28"/>
      <c r="F548" s="28"/>
      <c r="G548" s="28"/>
      <c r="H548" s="28"/>
      <c r="I548" s="28"/>
      <c r="J548" s="28"/>
      <c r="K548" s="36"/>
      <c r="L548" s="28"/>
      <c r="M548" s="28"/>
      <c r="N548" s="28"/>
      <c r="O548" s="28"/>
      <c r="P548" s="28"/>
      <c r="Q548" s="36"/>
      <c r="R548" s="36"/>
      <c r="S548" s="36"/>
      <c r="T548" s="36"/>
      <c r="U548" s="36"/>
      <c r="V548" s="36"/>
      <c r="W548" s="36"/>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8"/>
      <c r="BW548" s="28"/>
      <c r="BX548" s="28"/>
      <c r="BY548" s="28"/>
      <c r="BZ548" s="28"/>
      <c r="CA548" s="28"/>
      <c r="CB548" s="28"/>
      <c r="CC548" s="28"/>
      <c r="CD548" s="28"/>
      <c r="CE548" s="28"/>
      <c r="CF548" s="28"/>
      <c r="CG548" s="28"/>
    </row>
    <row r="549" spans="1:85" ht="12.75" x14ac:dyDescent="0.2">
      <c r="A549" s="28"/>
      <c r="B549" s="28"/>
      <c r="C549" s="28"/>
      <c r="D549" s="28"/>
      <c r="E549" s="28"/>
      <c r="F549" s="28"/>
      <c r="G549" s="28"/>
      <c r="H549" s="28"/>
      <c r="I549" s="28"/>
      <c r="J549" s="28"/>
      <c r="K549" s="36"/>
      <c r="L549" s="28"/>
      <c r="M549" s="28"/>
      <c r="N549" s="28"/>
      <c r="O549" s="28"/>
      <c r="P549" s="28"/>
      <c r="Q549" s="36"/>
      <c r="R549" s="36"/>
      <c r="S549" s="36"/>
      <c r="T549" s="36"/>
      <c r="U549" s="36"/>
      <c r="V549" s="36"/>
      <c r="W549" s="36"/>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c r="BE549" s="28"/>
      <c r="BF549" s="28"/>
      <c r="BG549" s="28"/>
      <c r="BH549" s="28"/>
      <c r="BI549" s="28"/>
      <c r="BJ549" s="28"/>
      <c r="BK549" s="28"/>
      <c r="BL549" s="28"/>
      <c r="BM549" s="28"/>
      <c r="BN549" s="28"/>
      <c r="BO549" s="28"/>
      <c r="BP549" s="28"/>
      <c r="BQ549" s="28"/>
      <c r="BR549" s="28"/>
      <c r="BS549" s="28"/>
      <c r="BT549" s="28"/>
      <c r="BU549" s="28"/>
      <c r="BV549" s="28"/>
      <c r="BW549" s="28"/>
      <c r="BX549" s="28"/>
      <c r="BY549" s="28"/>
      <c r="BZ549" s="28"/>
      <c r="CA549" s="28"/>
      <c r="CB549" s="28"/>
      <c r="CC549" s="28"/>
      <c r="CD549" s="28"/>
      <c r="CE549" s="28"/>
      <c r="CF549" s="28"/>
      <c r="CG549" s="28"/>
    </row>
    <row r="550" spans="1:85" ht="12.75" x14ac:dyDescent="0.2">
      <c r="A550" s="28"/>
      <c r="B550" s="28"/>
      <c r="C550" s="28"/>
      <c r="D550" s="28"/>
      <c r="E550" s="28"/>
      <c r="F550" s="28"/>
      <c r="G550" s="28"/>
      <c r="H550" s="28"/>
      <c r="I550" s="28"/>
      <c r="J550" s="28"/>
      <c r="K550" s="36"/>
      <c r="L550" s="28"/>
      <c r="M550" s="28"/>
      <c r="N550" s="28"/>
      <c r="O550" s="28"/>
      <c r="P550" s="28"/>
      <c r="Q550" s="36"/>
      <c r="R550" s="36"/>
      <c r="S550" s="36"/>
      <c r="T550" s="36"/>
      <c r="U550" s="36"/>
      <c r="V550" s="36"/>
      <c r="W550" s="36"/>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8"/>
      <c r="BW550" s="28"/>
      <c r="BX550" s="28"/>
      <c r="BY550" s="28"/>
      <c r="BZ550" s="28"/>
      <c r="CA550" s="28"/>
      <c r="CB550" s="28"/>
      <c r="CC550" s="28"/>
      <c r="CD550" s="28"/>
      <c r="CE550" s="28"/>
      <c r="CF550" s="28"/>
      <c r="CG550" s="28"/>
    </row>
    <row r="551" spans="1:85" ht="12.75" x14ac:dyDescent="0.2">
      <c r="A551" s="28"/>
      <c r="B551" s="28"/>
      <c r="C551" s="28"/>
      <c r="D551" s="28"/>
      <c r="E551" s="28"/>
      <c r="F551" s="28"/>
      <c r="G551" s="28"/>
      <c r="H551" s="28"/>
      <c r="I551" s="28"/>
      <c r="J551" s="28"/>
      <c r="K551" s="36"/>
      <c r="L551" s="28"/>
      <c r="M551" s="28"/>
      <c r="N551" s="28"/>
      <c r="O551" s="28"/>
      <c r="P551" s="28"/>
      <c r="Q551" s="36"/>
      <c r="R551" s="36"/>
      <c r="S551" s="36"/>
      <c r="T551" s="36"/>
      <c r="U551" s="36"/>
      <c r="V551" s="36"/>
      <c r="W551" s="36"/>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c r="BE551" s="28"/>
      <c r="BF551" s="28"/>
      <c r="BG551" s="28"/>
      <c r="BH551" s="28"/>
      <c r="BI551" s="28"/>
      <c r="BJ551" s="28"/>
      <c r="BK551" s="28"/>
      <c r="BL551" s="28"/>
      <c r="BM551" s="28"/>
      <c r="BN551" s="28"/>
      <c r="BO551" s="28"/>
      <c r="BP551" s="28"/>
      <c r="BQ551" s="28"/>
      <c r="BR551" s="28"/>
      <c r="BS551" s="28"/>
      <c r="BT551" s="28"/>
      <c r="BU551" s="28"/>
      <c r="BV551" s="28"/>
      <c r="BW551" s="28"/>
      <c r="BX551" s="28"/>
      <c r="BY551" s="28"/>
      <c r="BZ551" s="28"/>
      <c r="CA551" s="28"/>
      <c r="CB551" s="28"/>
      <c r="CC551" s="28"/>
      <c r="CD551" s="28"/>
      <c r="CE551" s="28"/>
      <c r="CF551" s="28"/>
      <c r="CG551" s="28"/>
    </row>
    <row r="552" spans="1:85" ht="12.75" x14ac:dyDescent="0.2">
      <c r="A552" s="28"/>
      <c r="B552" s="28"/>
      <c r="C552" s="28"/>
      <c r="D552" s="28"/>
      <c r="E552" s="28"/>
      <c r="F552" s="28"/>
      <c r="G552" s="28"/>
      <c r="H552" s="28"/>
      <c r="I552" s="28"/>
      <c r="J552" s="28"/>
      <c r="K552" s="36"/>
      <c r="L552" s="28"/>
      <c r="M552" s="28"/>
      <c r="N552" s="28"/>
      <c r="O552" s="28"/>
      <c r="P552" s="28"/>
      <c r="Q552" s="36"/>
      <c r="R552" s="36"/>
      <c r="S552" s="36"/>
      <c r="T552" s="36"/>
      <c r="U552" s="36"/>
      <c r="V552" s="36"/>
      <c r="W552" s="36"/>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8"/>
      <c r="BW552" s="28"/>
      <c r="BX552" s="28"/>
      <c r="BY552" s="28"/>
      <c r="BZ552" s="28"/>
      <c r="CA552" s="28"/>
      <c r="CB552" s="28"/>
      <c r="CC552" s="28"/>
      <c r="CD552" s="28"/>
      <c r="CE552" s="28"/>
      <c r="CF552" s="28"/>
      <c r="CG552" s="28"/>
    </row>
    <row r="553" spans="1:85" ht="12.75" x14ac:dyDescent="0.2">
      <c r="A553" s="28"/>
      <c r="B553" s="28"/>
      <c r="C553" s="28"/>
      <c r="D553" s="28"/>
      <c r="E553" s="28"/>
      <c r="F553" s="28"/>
      <c r="G553" s="28"/>
      <c r="H553" s="28"/>
      <c r="I553" s="28"/>
      <c r="J553" s="28"/>
      <c r="K553" s="36"/>
      <c r="L553" s="28"/>
      <c r="M553" s="28"/>
      <c r="N553" s="28"/>
      <c r="O553" s="28"/>
      <c r="P553" s="28"/>
      <c r="Q553" s="36"/>
      <c r="R553" s="36"/>
      <c r="S553" s="36"/>
      <c r="T553" s="36"/>
      <c r="U553" s="36"/>
      <c r="V553" s="36"/>
      <c r="W553" s="36"/>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c r="BE553" s="28"/>
      <c r="BF553" s="28"/>
      <c r="BG553" s="28"/>
      <c r="BH553" s="28"/>
      <c r="BI553" s="28"/>
      <c r="BJ553" s="28"/>
      <c r="BK553" s="28"/>
      <c r="BL553" s="28"/>
      <c r="BM553" s="28"/>
      <c r="BN553" s="28"/>
      <c r="BO553" s="28"/>
      <c r="BP553" s="28"/>
      <c r="BQ553" s="28"/>
      <c r="BR553" s="28"/>
      <c r="BS553" s="28"/>
      <c r="BT553" s="28"/>
      <c r="BU553" s="28"/>
      <c r="BV553" s="28"/>
      <c r="BW553" s="28"/>
      <c r="BX553" s="28"/>
      <c r="BY553" s="28"/>
      <c r="BZ553" s="28"/>
      <c r="CA553" s="28"/>
      <c r="CB553" s="28"/>
      <c r="CC553" s="28"/>
      <c r="CD553" s="28"/>
      <c r="CE553" s="28"/>
      <c r="CF553" s="28"/>
      <c r="CG553" s="28"/>
    </row>
    <row r="554" spans="1:85" ht="12.75" x14ac:dyDescent="0.2">
      <c r="A554" s="28"/>
      <c r="B554" s="28"/>
      <c r="C554" s="28"/>
      <c r="D554" s="28"/>
      <c r="E554" s="28"/>
      <c r="F554" s="28"/>
      <c r="G554" s="28"/>
      <c r="H554" s="28"/>
      <c r="I554" s="28"/>
      <c r="J554" s="28"/>
      <c r="K554" s="36"/>
      <c r="L554" s="28"/>
      <c r="M554" s="28"/>
      <c r="N554" s="28"/>
      <c r="O554" s="28"/>
      <c r="P554" s="28"/>
      <c r="Q554" s="36"/>
      <c r="R554" s="36"/>
      <c r="S554" s="36"/>
      <c r="T554" s="36"/>
      <c r="U554" s="36"/>
      <c r="V554" s="36"/>
      <c r="W554" s="36"/>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8"/>
      <c r="BW554" s="28"/>
      <c r="BX554" s="28"/>
      <c r="BY554" s="28"/>
      <c r="BZ554" s="28"/>
      <c r="CA554" s="28"/>
      <c r="CB554" s="28"/>
      <c r="CC554" s="28"/>
      <c r="CD554" s="28"/>
      <c r="CE554" s="28"/>
      <c r="CF554" s="28"/>
      <c r="CG554" s="28"/>
    </row>
    <row r="555" spans="1:85" ht="12.75" x14ac:dyDescent="0.2">
      <c r="A555" s="28"/>
      <c r="B555" s="28"/>
      <c r="C555" s="28"/>
      <c r="D555" s="28"/>
      <c r="E555" s="28"/>
      <c r="F555" s="28"/>
      <c r="G555" s="28"/>
      <c r="H555" s="28"/>
      <c r="I555" s="28"/>
      <c r="J555" s="28"/>
      <c r="K555" s="36"/>
      <c r="L555" s="28"/>
      <c r="M555" s="28"/>
      <c r="N555" s="28"/>
      <c r="O555" s="28"/>
      <c r="P555" s="28"/>
      <c r="Q555" s="36"/>
      <c r="R555" s="36"/>
      <c r="S555" s="36"/>
      <c r="T555" s="36"/>
      <c r="U555" s="36"/>
      <c r="V555" s="36"/>
      <c r="W555" s="36"/>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c r="BE555" s="28"/>
      <c r="BF555" s="28"/>
      <c r="BG555" s="28"/>
      <c r="BH555" s="28"/>
      <c r="BI555" s="28"/>
      <c r="BJ555" s="28"/>
      <c r="BK555" s="28"/>
      <c r="BL555" s="28"/>
      <c r="BM555" s="28"/>
      <c r="BN555" s="28"/>
      <c r="BO555" s="28"/>
      <c r="BP555" s="28"/>
      <c r="BQ555" s="28"/>
      <c r="BR555" s="28"/>
      <c r="BS555" s="28"/>
      <c r="BT555" s="28"/>
      <c r="BU555" s="28"/>
      <c r="BV555" s="28"/>
      <c r="BW555" s="28"/>
      <c r="BX555" s="28"/>
      <c r="BY555" s="28"/>
      <c r="BZ555" s="28"/>
      <c r="CA555" s="28"/>
      <c r="CB555" s="28"/>
      <c r="CC555" s="28"/>
      <c r="CD555" s="28"/>
      <c r="CE555" s="28"/>
      <c r="CF555" s="28"/>
      <c r="CG555" s="28"/>
    </row>
    <row r="556" spans="1:85" ht="12.75" x14ac:dyDescent="0.2">
      <c r="A556" s="28"/>
      <c r="B556" s="28"/>
      <c r="C556" s="28"/>
      <c r="D556" s="28"/>
      <c r="E556" s="28"/>
      <c r="F556" s="28"/>
      <c r="G556" s="28"/>
      <c r="H556" s="28"/>
      <c r="I556" s="28"/>
      <c r="J556" s="28"/>
      <c r="K556" s="36"/>
      <c r="L556" s="28"/>
      <c r="M556" s="28"/>
      <c r="N556" s="28"/>
      <c r="O556" s="28"/>
      <c r="P556" s="28"/>
      <c r="Q556" s="36"/>
      <c r="R556" s="36"/>
      <c r="S556" s="36"/>
      <c r="T556" s="36"/>
      <c r="U556" s="36"/>
      <c r="V556" s="36"/>
      <c r="W556" s="36"/>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8"/>
      <c r="BW556" s="28"/>
      <c r="BX556" s="28"/>
      <c r="BY556" s="28"/>
      <c r="BZ556" s="28"/>
      <c r="CA556" s="28"/>
      <c r="CB556" s="28"/>
      <c r="CC556" s="28"/>
      <c r="CD556" s="28"/>
      <c r="CE556" s="28"/>
      <c r="CF556" s="28"/>
      <c r="CG556" s="28"/>
    </row>
    <row r="557" spans="1:85" ht="12.75" x14ac:dyDescent="0.2">
      <c r="A557" s="28"/>
      <c r="B557" s="28"/>
      <c r="C557" s="28"/>
      <c r="D557" s="28"/>
      <c r="E557" s="28"/>
      <c r="F557" s="28"/>
      <c r="G557" s="28"/>
      <c r="H557" s="28"/>
      <c r="I557" s="28"/>
      <c r="J557" s="28"/>
      <c r="K557" s="36"/>
      <c r="L557" s="28"/>
      <c r="M557" s="28"/>
      <c r="N557" s="28"/>
      <c r="O557" s="28"/>
      <c r="P557" s="28"/>
      <c r="Q557" s="36"/>
      <c r="R557" s="36"/>
      <c r="S557" s="36"/>
      <c r="T557" s="36"/>
      <c r="U557" s="36"/>
      <c r="V557" s="36"/>
      <c r="W557" s="36"/>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c r="BE557" s="28"/>
      <c r="BF557" s="28"/>
      <c r="BG557" s="28"/>
      <c r="BH557" s="28"/>
      <c r="BI557" s="28"/>
      <c r="BJ557" s="28"/>
      <c r="BK557" s="28"/>
      <c r="BL557" s="28"/>
      <c r="BM557" s="28"/>
      <c r="BN557" s="28"/>
      <c r="BO557" s="28"/>
      <c r="BP557" s="28"/>
      <c r="BQ557" s="28"/>
      <c r="BR557" s="28"/>
      <c r="BS557" s="28"/>
      <c r="BT557" s="28"/>
      <c r="BU557" s="28"/>
      <c r="BV557" s="28"/>
      <c r="BW557" s="28"/>
      <c r="BX557" s="28"/>
      <c r="BY557" s="28"/>
      <c r="BZ557" s="28"/>
      <c r="CA557" s="28"/>
      <c r="CB557" s="28"/>
      <c r="CC557" s="28"/>
      <c r="CD557" s="28"/>
      <c r="CE557" s="28"/>
      <c r="CF557" s="28"/>
      <c r="CG557" s="28"/>
    </row>
    <row r="558" spans="1:85" ht="12.75" x14ac:dyDescent="0.2">
      <c r="A558" s="28"/>
      <c r="B558" s="28"/>
      <c r="C558" s="28"/>
      <c r="D558" s="28"/>
      <c r="E558" s="28"/>
      <c r="F558" s="28"/>
      <c r="G558" s="28"/>
      <c r="H558" s="28"/>
      <c r="I558" s="28"/>
      <c r="J558" s="28"/>
      <c r="K558" s="36"/>
      <c r="L558" s="28"/>
      <c r="M558" s="28"/>
      <c r="N558" s="28"/>
      <c r="O558" s="28"/>
      <c r="P558" s="28"/>
      <c r="Q558" s="36"/>
      <c r="R558" s="36"/>
      <c r="S558" s="36"/>
      <c r="T558" s="36"/>
      <c r="U558" s="36"/>
      <c r="V558" s="36"/>
      <c r="W558" s="36"/>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8"/>
      <c r="BW558" s="28"/>
      <c r="BX558" s="28"/>
      <c r="BY558" s="28"/>
      <c r="BZ558" s="28"/>
      <c r="CA558" s="28"/>
      <c r="CB558" s="28"/>
      <c r="CC558" s="28"/>
      <c r="CD558" s="28"/>
      <c r="CE558" s="28"/>
      <c r="CF558" s="28"/>
      <c r="CG558" s="28"/>
    </row>
    <row r="559" spans="1:85" ht="12.75" x14ac:dyDescent="0.2">
      <c r="A559" s="28"/>
      <c r="B559" s="28"/>
      <c r="C559" s="28"/>
      <c r="D559" s="28"/>
      <c r="E559" s="28"/>
      <c r="F559" s="28"/>
      <c r="G559" s="28"/>
      <c r="H559" s="28"/>
      <c r="I559" s="28"/>
      <c r="J559" s="28"/>
      <c r="K559" s="36"/>
      <c r="L559" s="28"/>
      <c r="M559" s="28"/>
      <c r="N559" s="28"/>
      <c r="O559" s="28"/>
      <c r="P559" s="28"/>
      <c r="Q559" s="36"/>
      <c r="R559" s="36"/>
      <c r="S559" s="36"/>
      <c r="T559" s="36"/>
      <c r="U559" s="36"/>
      <c r="V559" s="36"/>
      <c r="W559" s="36"/>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c r="BE559" s="28"/>
      <c r="BF559" s="28"/>
      <c r="BG559" s="28"/>
      <c r="BH559" s="28"/>
      <c r="BI559" s="28"/>
      <c r="BJ559" s="28"/>
      <c r="BK559" s="28"/>
      <c r="BL559" s="28"/>
      <c r="BM559" s="28"/>
      <c r="BN559" s="28"/>
      <c r="BO559" s="28"/>
      <c r="BP559" s="28"/>
      <c r="BQ559" s="28"/>
      <c r="BR559" s="28"/>
      <c r="BS559" s="28"/>
      <c r="BT559" s="28"/>
      <c r="BU559" s="28"/>
      <c r="BV559" s="28"/>
      <c r="BW559" s="28"/>
      <c r="BX559" s="28"/>
      <c r="BY559" s="28"/>
      <c r="BZ559" s="28"/>
      <c r="CA559" s="28"/>
      <c r="CB559" s="28"/>
      <c r="CC559" s="28"/>
      <c r="CD559" s="28"/>
      <c r="CE559" s="28"/>
      <c r="CF559" s="28"/>
      <c r="CG559" s="28"/>
    </row>
    <row r="560" spans="1:85" ht="12.75" x14ac:dyDescent="0.2">
      <c r="A560" s="28"/>
      <c r="B560" s="28"/>
      <c r="C560" s="28"/>
      <c r="D560" s="28"/>
      <c r="E560" s="28"/>
      <c r="F560" s="28"/>
      <c r="G560" s="28"/>
      <c r="H560" s="28"/>
      <c r="I560" s="28"/>
      <c r="J560" s="28"/>
      <c r="K560" s="36"/>
      <c r="L560" s="28"/>
      <c r="M560" s="28"/>
      <c r="N560" s="28"/>
      <c r="O560" s="28"/>
      <c r="P560" s="28"/>
      <c r="Q560" s="36"/>
      <c r="R560" s="36"/>
      <c r="S560" s="36"/>
      <c r="T560" s="36"/>
      <c r="U560" s="36"/>
      <c r="V560" s="36"/>
      <c r="W560" s="36"/>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8"/>
      <c r="BW560" s="28"/>
      <c r="BX560" s="28"/>
      <c r="BY560" s="28"/>
      <c r="BZ560" s="28"/>
      <c r="CA560" s="28"/>
      <c r="CB560" s="28"/>
      <c r="CC560" s="28"/>
      <c r="CD560" s="28"/>
      <c r="CE560" s="28"/>
      <c r="CF560" s="28"/>
      <c r="CG560" s="28"/>
    </row>
    <row r="561" spans="1:85" ht="12.75" x14ac:dyDescent="0.2">
      <c r="A561" s="28"/>
      <c r="B561" s="28"/>
      <c r="C561" s="28"/>
      <c r="D561" s="28"/>
      <c r="E561" s="28"/>
      <c r="F561" s="28"/>
      <c r="G561" s="28"/>
      <c r="H561" s="28"/>
      <c r="I561" s="28"/>
      <c r="J561" s="28"/>
      <c r="K561" s="36"/>
      <c r="L561" s="28"/>
      <c r="M561" s="28"/>
      <c r="N561" s="28"/>
      <c r="O561" s="28"/>
      <c r="P561" s="28"/>
      <c r="Q561" s="36"/>
      <c r="R561" s="36"/>
      <c r="S561" s="36"/>
      <c r="T561" s="36"/>
      <c r="U561" s="36"/>
      <c r="V561" s="36"/>
      <c r="W561" s="36"/>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c r="BE561" s="28"/>
      <c r="BF561" s="28"/>
      <c r="BG561" s="28"/>
      <c r="BH561" s="28"/>
      <c r="BI561" s="28"/>
      <c r="BJ561" s="28"/>
      <c r="BK561" s="28"/>
      <c r="BL561" s="28"/>
      <c r="BM561" s="28"/>
      <c r="BN561" s="28"/>
      <c r="BO561" s="28"/>
      <c r="BP561" s="28"/>
      <c r="BQ561" s="28"/>
      <c r="BR561" s="28"/>
      <c r="BS561" s="28"/>
      <c r="BT561" s="28"/>
      <c r="BU561" s="28"/>
      <c r="BV561" s="28"/>
      <c r="BW561" s="28"/>
      <c r="BX561" s="28"/>
      <c r="BY561" s="28"/>
      <c r="BZ561" s="28"/>
      <c r="CA561" s="28"/>
      <c r="CB561" s="28"/>
      <c r="CC561" s="28"/>
      <c r="CD561" s="28"/>
      <c r="CE561" s="28"/>
      <c r="CF561" s="28"/>
      <c r="CG561" s="28"/>
    </row>
    <row r="562" spans="1:85" ht="12.75" x14ac:dyDescent="0.2">
      <c r="A562" s="28"/>
      <c r="B562" s="28"/>
      <c r="C562" s="28"/>
      <c r="D562" s="28"/>
      <c r="E562" s="28"/>
      <c r="F562" s="28"/>
      <c r="G562" s="28"/>
      <c r="H562" s="28"/>
      <c r="I562" s="28"/>
      <c r="J562" s="28"/>
      <c r="K562" s="36"/>
      <c r="L562" s="28"/>
      <c r="M562" s="28"/>
      <c r="N562" s="28"/>
      <c r="O562" s="28"/>
      <c r="P562" s="28"/>
      <c r="Q562" s="36"/>
      <c r="R562" s="36"/>
      <c r="S562" s="36"/>
      <c r="T562" s="36"/>
      <c r="U562" s="36"/>
      <c r="V562" s="36"/>
      <c r="W562" s="36"/>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8"/>
      <c r="BW562" s="28"/>
      <c r="BX562" s="28"/>
      <c r="BY562" s="28"/>
      <c r="BZ562" s="28"/>
      <c r="CA562" s="28"/>
      <c r="CB562" s="28"/>
      <c r="CC562" s="28"/>
      <c r="CD562" s="28"/>
      <c r="CE562" s="28"/>
      <c r="CF562" s="28"/>
      <c r="CG562" s="28"/>
    </row>
    <row r="563" spans="1:85" ht="12.75" x14ac:dyDescent="0.2">
      <c r="A563" s="28"/>
      <c r="B563" s="28"/>
      <c r="C563" s="28"/>
      <c r="D563" s="28"/>
      <c r="E563" s="28"/>
      <c r="F563" s="28"/>
      <c r="G563" s="28"/>
      <c r="H563" s="28"/>
      <c r="I563" s="28"/>
      <c r="J563" s="28"/>
      <c r="K563" s="36"/>
      <c r="L563" s="28"/>
      <c r="M563" s="28"/>
      <c r="N563" s="28"/>
      <c r="O563" s="28"/>
      <c r="P563" s="28"/>
      <c r="Q563" s="36"/>
      <c r="R563" s="36"/>
      <c r="S563" s="36"/>
      <c r="T563" s="36"/>
      <c r="U563" s="36"/>
      <c r="V563" s="36"/>
      <c r="W563" s="36"/>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c r="BE563" s="28"/>
      <c r="BF563" s="28"/>
      <c r="BG563" s="28"/>
      <c r="BH563" s="28"/>
      <c r="BI563" s="28"/>
      <c r="BJ563" s="28"/>
      <c r="BK563" s="28"/>
      <c r="BL563" s="28"/>
      <c r="BM563" s="28"/>
      <c r="BN563" s="28"/>
      <c r="BO563" s="28"/>
      <c r="BP563" s="28"/>
      <c r="BQ563" s="28"/>
      <c r="BR563" s="28"/>
      <c r="BS563" s="28"/>
      <c r="BT563" s="28"/>
      <c r="BU563" s="28"/>
      <c r="BV563" s="28"/>
      <c r="BW563" s="28"/>
      <c r="BX563" s="28"/>
      <c r="BY563" s="28"/>
      <c r="BZ563" s="28"/>
      <c r="CA563" s="28"/>
      <c r="CB563" s="28"/>
      <c r="CC563" s="28"/>
      <c r="CD563" s="28"/>
      <c r="CE563" s="28"/>
      <c r="CF563" s="28"/>
      <c r="CG563" s="28"/>
    </row>
    <row r="564" spans="1:85" ht="12.75" x14ac:dyDescent="0.2">
      <c r="A564" s="28"/>
      <c r="B564" s="28"/>
      <c r="C564" s="28"/>
      <c r="D564" s="28"/>
      <c r="E564" s="28"/>
      <c r="F564" s="28"/>
      <c r="G564" s="28"/>
      <c r="H564" s="28"/>
      <c r="I564" s="28"/>
      <c r="J564" s="28"/>
      <c r="K564" s="36"/>
      <c r="L564" s="28"/>
      <c r="M564" s="28"/>
      <c r="N564" s="28"/>
      <c r="O564" s="28"/>
      <c r="P564" s="28"/>
      <c r="Q564" s="36"/>
      <c r="R564" s="36"/>
      <c r="S564" s="36"/>
      <c r="T564" s="36"/>
      <c r="U564" s="36"/>
      <c r="V564" s="36"/>
      <c r="W564" s="36"/>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8"/>
      <c r="BW564" s="28"/>
      <c r="BX564" s="28"/>
      <c r="BY564" s="28"/>
      <c r="BZ564" s="28"/>
      <c r="CA564" s="28"/>
      <c r="CB564" s="28"/>
      <c r="CC564" s="28"/>
      <c r="CD564" s="28"/>
      <c r="CE564" s="28"/>
      <c r="CF564" s="28"/>
      <c r="CG564" s="28"/>
    </row>
    <row r="565" spans="1:85" ht="12.75" x14ac:dyDescent="0.2">
      <c r="A565" s="28"/>
      <c r="B565" s="28"/>
      <c r="C565" s="28"/>
      <c r="D565" s="28"/>
      <c r="E565" s="28"/>
      <c r="F565" s="28"/>
      <c r="G565" s="28"/>
      <c r="H565" s="28"/>
      <c r="I565" s="28"/>
      <c r="J565" s="28"/>
      <c r="K565" s="36"/>
      <c r="L565" s="28"/>
      <c r="M565" s="28"/>
      <c r="N565" s="28"/>
      <c r="O565" s="28"/>
      <c r="P565" s="28"/>
      <c r="Q565" s="36"/>
      <c r="R565" s="36"/>
      <c r="S565" s="36"/>
      <c r="T565" s="36"/>
      <c r="U565" s="36"/>
      <c r="V565" s="36"/>
      <c r="W565" s="36"/>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c r="BE565" s="28"/>
      <c r="BF565" s="28"/>
      <c r="BG565" s="28"/>
      <c r="BH565" s="28"/>
      <c r="BI565" s="28"/>
      <c r="BJ565" s="28"/>
      <c r="BK565" s="28"/>
      <c r="BL565" s="28"/>
      <c r="BM565" s="28"/>
      <c r="BN565" s="28"/>
      <c r="BO565" s="28"/>
      <c r="BP565" s="28"/>
      <c r="BQ565" s="28"/>
      <c r="BR565" s="28"/>
      <c r="BS565" s="28"/>
      <c r="BT565" s="28"/>
      <c r="BU565" s="28"/>
      <c r="BV565" s="28"/>
      <c r="BW565" s="28"/>
      <c r="BX565" s="28"/>
      <c r="BY565" s="28"/>
      <c r="BZ565" s="28"/>
      <c r="CA565" s="28"/>
      <c r="CB565" s="28"/>
      <c r="CC565" s="28"/>
      <c r="CD565" s="28"/>
      <c r="CE565" s="28"/>
      <c r="CF565" s="28"/>
      <c r="CG565" s="28"/>
    </row>
    <row r="566" spans="1:85" ht="12.75" x14ac:dyDescent="0.2">
      <c r="A566" s="28"/>
      <c r="B566" s="28"/>
      <c r="C566" s="28"/>
      <c r="D566" s="28"/>
      <c r="E566" s="28"/>
      <c r="F566" s="28"/>
      <c r="G566" s="28"/>
      <c r="H566" s="28"/>
      <c r="I566" s="28"/>
      <c r="J566" s="28"/>
      <c r="K566" s="36"/>
      <c r="L566" s="28"/>
      <c r="M566" s="28"/>
      <c r="N566" s="28"/>
      <c r="O566" s="28"/>
      <c r="P566" s="28"/>
      <c r="Q566" s="36"/>
      <c r="R566" s="36"/>
      <c r="S566" s="36"/>
      <c r="T566" s="36"/>
      <c r="U566" s="36"/>
      <c r="V566" s="36"/>
      <c r="W566" s="36"/>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8"/>
      <c r="BW566" s="28"/>
      <c r="BX566" s="28"/>
      <c r="BY566" s="28"/>
      <c r="BZ566" s="28"/>
      <c r="CA566" s="28"/>
      <c r="CB566" s="28"/>
      <c r="CC566" s="28"/>
      <c r="CD566" s="28"/>
      <c r="CE566" s="28"/>
      <c r="CF566" s="28"/>
      <c r="CG566" s="28"/>
    </row>
    <row r="567" spans="1:85" ht="12.75" x14ac:dyDescent="0.2">
      <c r="A567" s="28"/>
      <c r="B567" s="28"/>
      <c r="C567" s="28"/>
      <c r="D567" s="28"/>
      <c r="E567" s="28"/>
      <c r="F567" s="28"/>
      <c r="G567" s="28"/>
      <c r="H567" s="28"/>
      <c r="I567" s="28"/>
      <c r="J567" s="28"/>
      <c r="K567" s="36"/>
      <c r="L567" s="28"/>
      <c r="M567" s="28"/>
      <c r="N567" s="28"/>
      <c r="O567" s="28"/>
      <c r="P567" s="28"/>
      <c r="Q567" s="36"/>
      <c r="R567" s="36"/>
      <c r="S567" s="36"/>
      <c r="T567" s="36"/>
      <c r="U567" s="36"/>
      <c r="V567" s="36"/>
      <c r="W567" s="36"/>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c r="BE567" s="28"/>
      <c r="BF567" s="28"/>
      <c r="BG567" s="28"/>
      <c r="BH567" s="28"/>
      <c r="BI567" s="28"/>
      <c r="BJ567" s="28"/>
      <c r="BK567" s="28"/>
      <c r="BL567" s="28"/>
      <c r="BM567" s="28"/>
      <c r="BN567" s="28"/>
      <c r="BO567" s="28"/>
      <c r="BP567" s="28"/>
      <c r="BQ567" s="28"/>
      <c r="BR567" s="28"/>
      <c r="BS567" s="28"/>
      <c r="BT567" s="28"/>
      <c r="BU567" s="28"/>
      <c r="BV567" s="28"/>
      <c r="BW567" s="28"/>
      <c r="BX567" s="28"/>
      <c r="BY567" s="28"/>
      <c r="BZ567" s="28"/>
      <c r="CA567" s="28"/>
      <c r="CB567" s="28"/>
      <c r="CC567" s="28"/>
      <c r="CD567" s="28"/>
      <c r="CE567" s="28"/>
      <c r="CF567" s="28"/>
      <c r="CG567" s="28"/>
    </row>
    <row r="568" spans="1:85" ht="12.75" x14ac:dyDescent="0.2">
      <c r="A568" s="28"/>
      <c r="B568" s="28"/>
      <c r="C568" s="28"/>
      <c r="D568" s="28"/>
      <c r="E568" s="28"/>
      <c r="F568" s="28"/>
      <c r="G568" s="28"/>
      <c r="H568" s="28"/>
      <c r="I568" s="28"/>
      <c r="J568" s="28"/>
      <c r="K568" s="36"/>
      <c r="L568" s="28"/>
      <c r="M568" s="28"/>
      <c r="N568" s="28"/>
      <c r="O568" s="28"/>
      <c r="P568" s="28"/>
      <c r="Q568" s="36"/>
      <c r="R568" s="36"/>
      <c r="S568" s="36"/>
      <c r="T568" s="36"/>
      <c r="U568" s="36"/>
      <c r="V568" s="36"/>
      <c r="W568" s="36"/>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8"/>
      <c r="BW568" s="28"/>
      <c r="BX568" s="28"/>
      <c r="BY568" s="28"/>
      <c r="BZ568" s="28"/>
      <c r="CA568" s="28"/>
      <c r="CB568" s="28"/>
      <c r="CC568" s="28"/>
      <c r="CD568" s="28"/>
      <c r="CE568" s="28"/>
      <c r="CF568" s="28"/>
      <c r="CG568" s="28"/>
    </row>
    <row r="569" spans="1:85" ht="12.75" x14ac:dyDescent="0.2">
      <c r="A569" s="28"/>
      <c r="B569" s="28"/>
      <c r="C569" s="28"/>
      <c r="D569" s="28"/>
      <c r="E569" s="28"/>
      <c r="F569" s="28"/>
      <c r="G569" s="28"/>
      <c r="H569" s="28"/>
      <c r="I569" s="28"/>
      <c r="J569" s="28"/>
      <c r="K569" s="36"/>
      <c r="L569" s="28"/>
      <c r="M569" s="28"/>
      <c r="N569" s="28"/>
      <c r="O569" s="28"/>
      <c r="P569" s="28"/>
      <c r="Q569" s="36"/>
      <c r="R569" s="36"/>
      <c r="S569" s="36"/>
      <c r="T569" s="36"/>
      <c r="U569" s="36"/>
      <c r="V569" s="36"/>
      <c r="W569" s="36"/>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c r="BE569" s="28"/>
      <c r="BF569" s="28"/>
      <c r="BG569" s="28"/>
      <c r="BH569" s="28"/>
      <c r="BI569" s="28"/>
      <c r="BJ569" s="28"/>
      <c r="BK569" s="28"/>
      <c r="BL569" s="28"/>
      <c r="BM569" s="28"/>
      <c r="BN569" s="28"/>
      <c r="BO569" s="28"/>
      <c r="BP569" s="28"/>
      <c r="BQ569" s="28"/>
      <c r="BR569" s="28"/>
      <c r="BS569" s="28"/>
      <c r="BT569" s="28"/>
      <c r="BU569" s="28"/>
      <c r="BV569" s="28"/>
      <c r="BW569" s="28"/>
      <c r="BX569" s="28"/>
      <c r="BY569" s="28"/>
      <c r="BZ569" s="28"/>
      <c r="CA569" s="28"/>
      <c r="CB569" s="28"/>
      <c r="CC569" s="28"/>
      <c r="CD569" s="28"/>
      <c r="CE569" s="28"/>
      <c r="CF569" s="28"/>
      <c r="CG569" s="28"/>
    </row>
    <row r="570" spans="1:85" ht="12.75" x14ac:dyDescent="0.2">
      <c r="A570" s="28"/>
      <c r="B570" s="28"/>
      <c r="C570" s="28"/>
      <c r="D570" s="28"/>
      <c r="E570" s="28"/>
      <c r="F570" s="28"/>
      <c r="G570" s="28"/>
      <c r="H570" s="28"/>
      <c r="I570" s="28"/>
      <c r="J570" s="28"/>
      <c r="K570" s="36"/>
      <c r="L570" s="28"/>
      <c r="M570" s="28"/>
      <c r="N570" s="28"/>
      <c r="O570" s="28"/>
      <c r="P570" s="28"/>
      <c r="Q570" s="36"/>
      <c r="R570" s="36"/>
      <c r="S570" s="36"/>
      <c r="T570" s="36"/>
      <c r="U570" s="36"/>
      <c r="V570" s="36"/>
      <c r="W570" s="36"/>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8"/>
      <c r="BW570" s="28"/>
      <c r="BX570" s="28"/>
      <c r="BY570" s="28"/>
      <c r="BZ570" s="28"/>
      <c r="CA570" s="28"/>
      <c r="CB570" s="28"/>
      <c r="CC570" s="28"/>
      <c r="CD570" s="28"/>
      <c r="CE570" s="28"/>
      <c r="CF570" s="28"/>
      <c r="CG570" s="28"/>
    </row>
    <row r="571" spans="1:85" ht="12.75" x14ac:dyDescent="0.2">
      <c r="A571" s="28"/>
      <c r="B571" s="28"/>
      <c r="C571" s="28"/>
      <c r="D571" s="28"/>
      <c r="E571" s="28"/>
      <c r="F571" s="28"/>
      <c r="G571" s="28"/>
      <c r="H571" s="28"/>
      <c r="I571" s="28"/>
      <c r="J571" s="28"/>
      <c r="K571" s="36"/>
      <c r="L571" s="28"/>
      <c r="M571" s="28"/>
      <c r="N571" s="28"/>
      <c r="O571" s="28"/>
      <c r="P571" s="28"/>
      <c r="Q571" s="36"/>
      <c r="R571" s="36"/>
      <c r="S571" s="36"/>
      <c r="T571" s="36"/>
      <c r="U571" s="36"/>
      <c r="V571" s="36"/>
      <c r="W571" s="36"/>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c r="BE571" s="28"/>
      <c r="BF571" s="28"/>
      <c r="BG571" s="28"/>
      <c r="BH571" s="28"/>
      <c r="BI571" s="28"/>
      <c r="BJ571" s="28"/>
      <c r="BK571" s="28"/>
      <c r="BL571" s="28"/>
      <c r="BM571" s="28"/>
      <c r="BN571" s="28"/>
      <c r="BO571" s="28"/>
      <c r="BP571" s="28"/>
      <c r="BQ571" s="28"/>
      <c r="BR571" s="28"/>
      <c r="BS571" s="28"/>
      <c r="BT571" s="28"/>
      <c r="BU571" s="28"/>
      <c r="BV571" s="28"/>
      <c r="BW571" s="28"/>
      <c r="BX571" s="28"/>
      <c r="BY571" s="28"/>
      <c r="BZ571" s="28"/>
      <c r="CA571" s="28"/>
      <c r="CB571" s="28"/>
      <c r="CC571" s="28"/>
      <c r="CD571" s="28"/>
      <c r="CE571" s="28"/>
      <c r="CF571" s="28"/>
      <c r="CG571" s="28"/>
    </row>
    <row r="572" spans="1:85" ht="12.75" x14ac:dyDescent="0.2">
      <c r="A572" s="28"/>
      <c r="B572" s="28"/>
      <c r="C572" s="28"/>
      <c r="D572" s="28"/>
      <c r="E572" s="28"/>
      <c r="F572" s="28"/>
      <c r="G572" s="28"/>
      <c r="H572" s="28"/>
      <c r="I572" s="28"/>
      <c r="J572" s="28"/>
      <c r="K572" s="36"/>
      <c r="L572" s="28"/>
      <c r="M572" s="28"/>
      <c r="N572" s="28"/>
      <c r="O572" s="28"/>
      <c r="P572" s="28"/>
      <c r="Q572" s="36"/>
      <c r="R572" s="36"/>
      <c r="S572" s="36"/>
      <c r="T572" s="36"/>
      <c r="U572" s="36"/>
      <c r="V572" s="36"/>
      <c r="W572" s="36"/>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8"/>
      <c r="BW572" s="28"/>
      <c r="BX572" s="28"/>
      <c r="BY572" s="28"/>
      <c r="BZ572" s="28"/>
      <c r="CA572" s="28"/>
      <c r="CB572" s="28"/>
      <c r="CC572" s="28"/>
      <c r="CD572" s="28"/>
      <c r="CE572" s="28"/>
      <c r="CF572" s="28"/>
      <c r="CG572" s="28"/>
    </row>
    <row r="573" spans="1:85" ht="12.75" x14ac:dyDescent="0.2">
      <c r="A573" s="28"/>
      <c r="B573" s="28"/>
      <c r="C573" s="28"/>
      <c r="D573" s="28"/>
      <c r="E573" s="28"/>
      <c r="F573" s="28"/>
      <c r="G573" s="28"/>
      <c r="H573" s="28"/>
      <c r="I573" s="28"/>
      <c r="J573" s="28"/>
      <c r="K573" s="36"/>
      <c r="L573" s="28"/>
      <c r="M573" s="28"/>
      <c r="N573" s="28"/>
      <c r="O573" s="28"/>
      <c r="P573" s="28"/>
      <c r="Q573" s="36"/>
      <c r="R573" s="36"/>
      <c r="S573" s="36"/>
      <c r="T573" s="36"/>
      <c r="U573" s="36"/>
      <c r="V573" s="36"/>
      <c r="W573" s="36"/>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c r="BE573" s="28"/>
      <c r="BF573" s="28"/>
      <c r="BG573" s="28"/>
      <c r="BH573" s="28"/>
      <c r="BI573" s="28"/>
      <c r="BJ573" s="28"/>
      <c r="BK573" s="28"/>
      <c r="BL573" s="28"/>
      <c r="BM573" s="28"/>
      <c r="BN573" s="28"/>
      <c r="BO573" s="28"/>
      <c r="BP573" s="28"/>
      <c r="BQ573" s="28"/>
      <c r="BR573" s="28"/>
      <c r="BS573" s="28"/>
      <c r="BT573" s="28"/>
      <c r="BU573" s="28"/>
      <c r="BV573" s="28"/>
      <c r="BW573" s="28"/>
      <c r="BX573" s="28"/>
      <c r="BY573" s="28"/>
      <c r="BZ573" s="28"/>
      <c r="CA573" s="28"/>
      <c r="CB573" s="28"/>
      <c r="CC573" s="28"/>
      <c r="CD573" s="28"/>
      <c r="CE573" s="28"/>
      <c r="CF573" s="28"/>
      <c r="CG573" s="28"/>
    </row>
    <row r="574" spans="1:85" ht="12.75" x14ac:dyDescent="0.2">
      <c r="A574" s="28"/>
      <c r="B574" s="28"/>
      <c r="C574" s="28"/>
      <c r="D574" s="28"/>
      <c r="E574" s="28"/>
      <c r="F574" s="28"/>
      <c r="G574" s="28"/>
      <c r="H574" s="28"/>
      <c r="I574" s="28"/>
      <c r="J574" s="28"/>
      <c r="K574" s="36"/>
      <c r="L574" s="28"/>
      <c r="M574" s="28"/>
      <c r="N574" s="28"/>
      <c r="O574" s="28"/>
      <c r="P574" s="28"/>
      <c r="Q574" s="36"/>
      <c r="R574" s="36"/>
      <c r="S574" s="36"/>
      <c r="T574" s="36"/>
      <c r="U574" s="36"/>
      <c r="V574" s="36"/>
      <c r="W574" s="36"/>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8"/>
      <c r="BW574" s="28"/>
      <c r="BX574" s="28"/>
      <c r="BY574" s="28"/>
      <c r="BZ574" s="28"/>
      <c r="CA574" s="28"/>
      <c r="CB574" s="28"/>
      <c r="CC574" s="28"/>
      <c r="CD574" s="28"/>
      <c r="CE574" s="28"/>
      <c r="CF574" s="28"/>
      <c r="CG574" s="28"/>
    </row>
    <row r="575" spans="1:85" ht="12.75" x14ac:dyDescent="0.2">
      <c r="A575" s="28"/>
      <c r="B575" s="28"/>
      <c r="C575" s="28"/>
      <c r="D575" s="28"/>
      <c r="E575" s="28"/>
      <c r="F575" s="28"/>
      <c r="G575" s="28"/>
      <c r="H575" s="28"/>
      <c r="I575" s="28"/>
      <c r="J575" s="28"/>
      <c r="K575" s="36"/>
      <c r="L575" s="28"/>
      <c r="M575" s="28"/>
      <c r="N575" s="28"/>
      <c r="O575" s="28"/>
      <c r="P575" s="28"/>
      <c r="Q575" s="36"/>
      <c r="R575" s="36"/>
      <c r="S575" s="36"/>
      <c r="T575" s="36"/>
      <c r="U575" s="36"/>
      <c r="V575" s="36"/>
      <c r="W575" s="36"/>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c r="BE575" s="28"/>
      <c r="BF575" s="28"/>
      <c r="BG575" s="28"/>
      <c r="BH575" s="28"/>
      <c r="BI575" s="28"/>
      <c r="BJ575" s="28"/>
      <c r="BK575" s="28"/>
      <c r="BL575" s="28"/>
      <c r="BM575" s="28"/>
      <c r="BN575" s="28"/>
      <c r="BO575" s="28"/>
      <c r="BP575" s="28"/>
      <c r="BQ575" s="28"/>
      <c r="BR575" s="28"/>
      <c r="BS575" s="28"/>
      <c r="BT575" s="28"/>
      <c r="BU575" s="28"/>
      <c r="BV575" s="28"/>
      <c r="BW575" s="28"/>
      <c r="BX575" s="28"/>
      <c r="BY575" s="28"/>
      <c r="BZ575" s="28"/>
      <c r="CA575" s="28"/>
      <c r="CB575" s="28"/>
      <c r="CC575" s="28"/>
      <c r="CD575" s="28"/>
      <c r="CE575" s="28"/>
      <c r="CF575" s="28"/>
      <c r="CG575" s="28"/>
    </row>
    <row r="576" spans="1:85" ht="12.75" x14ac:dyDescent="0.2">
      <c r="A576" s="28"/>
      <c r="B576" s="28"/>
      <c r="C576" s="28"/>
      <c r="D576" s="28"/>
      <c r="E576" s="28"/>
      <c r="F576" s="28"/>
      <c r="G576" s="28"/>
      <c r="H576" s="28"/>
      <c r="I576" s="28"/>
      <c r="J576" s="28"/>
      <c r="K576" s="36"/>
      <c r="L576" s="28"/>
      <c r="M576" s="28"/>
      <c r="N576" s="28"/>
      <c r="O576" s="28"/>
      <c r="P576" s="28"/>
      <c r="Q576" s="36"/>
      <c r="R576" s="36"/>
      <c r="S576" s="36"/>
      <c r="T576" s="36"/>
      <c r="U576" s="36"/>
      <c r="V576" s="36"/>
      <c r="W576" s="36"/>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8"/>
      <c r="BW576" s="28"/>
      <c r="BX576" s="28"/>
      <c r="BY576" s="28"/>
      <c r="BZ576" s="28"/>
      <c r="CA576" s="28"/>
      <c r="CB576" s="28"/>
      <c r="CC576" s="28"/>
      <c r="CD576" s="28"/>
      <c r="CE576" s="28"/>
      <c r="CF576" s="28"/>
      <c r="CG576" s="28"/>
    </row>
    <row r="577" spans="1:85" ht="12.75" x14ac:dyDescent="0.2">
      <c r="A577" s="28"/>
      <c r="B577" s="28"/>
      <c r="C577" s="28"/>
      <c r="D577" s="28"/>
      <c r="E577" s="28"/>
      <c r="F577" s="28"/>
      <c r="G577" s="28"/>
      <c r="H577" s="28"/>
      <c r="I577" s="28"/>
      <c r="J577" s="28"/>
      <c r="K577" s="36"/>
      <c r="L577" s="28"/>
      <c r="M577" s="28"/>
      <c r="N577" s="28"/>
      <c r="O577" s="28"/>
      <c r="P577" s="28"/>
      <c r="Q577" s="36"/>
      <c r="R577" s="36"/>
      <c r="S577" s="36"/>
      <c r="T577" s="36"/>
      <c r="U577" s="36"/>
      <c r="V577" s="36"/>
      <c r="W577" s="36"/>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c r="BE577" s="28"/>
      <c r="BF577" s="28"/>
      <c r="BG577" s="28"/>
      <c r="BH577" s="28"/>
      <c r="BI577" s="28"/>
      <c r="BJ577" s="28"/>
      <c r="BK577" s="28"/>
      <c r="BL577" s="28"/>
      <c r="BM577" s="28"/>
      <c r="BN577" s="28"/>
      <c r="BO577" s="28"/>
      <c r="BP577" s="28"/>
      <c r="BQ577" s="28"/>
      <c r="BR577" s="28"/>
      <c r="BS577" s="28"/>
      <c r="BT577" s="28"/>
      <c r="BU577" s="28"/>
      <c r="BV577" s="28"/>
      <c r="BW577" s="28"/>
      <c r="BX577" s="28"/>
      <c r="BY577" s="28"/>
      <c r="BZ577" s="28"/>
      <c r="CA577" s="28"/>
      <c r="CB577" s="28"/>
      <c r="CC577" s="28"/>
      <c r="CD577" s="28"/>
      <c r="CE577" s="28"/>
      <c r="CF577" s="28"/>
      <c r="CG577" s="28"/>
    </row>
    <row r="578" spans="1:85" ht="12.75" x14ac:dyDescent="0.2">
      <c r="A578" s="28"/>
      <c r="B578" s="28"/>
      <c r="C578" s="28"/>
      <c r="D578" s="28"/>
      <c r="E578" s="28"/>
      <c r="F578" s="28"/>
      <c r="G578" s="28"/>
      <c r="H578" s="28"/>
      <c r="I578" s="28"/>
      <c r="J578" s="28"/>
      <c r="K578" s="36"/>
      <c r="L578" s="28"/>
      <c r="M578" s="28"/>
      <c r="N578" s="28"/>
      <c r="O578" s="28"/>
      <c r="P578" s="28"/>
      <c r="Q578" s="36"/>
      <c r="R578" s="36"/>
      <c r="S578" s="36"/>
      <c r="T578" s="36"/>
      <c r="U578" s="36"/>
      <c r="V578" s="36"/>
      <c r="W578" s="36"/>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8"/>
      <c r="BW578" s="28"/>
      <c r="BX578" s="28"/>
      <c r="BY578" s="28"/>
      <c r="BZ578" s="28"/>
      <c r="CA578" s="28"/>
      <c r="CB578" s="28"/>
      <c r="CC578" s="28"/>
      <c r="CD578" s="28"/>
      <c r="CE578" s="28"/>
      <c r="CF578" s="28"/>
      <c r="CG578" s="28"/>
    </row>
    <row r="579" spans="1:85" ht="12.75" x14ac:dyDescent="0.2">
      <c r="A579" s="28"/>
      <c r="B579" s="28"/>
      <c r="C579" s="28"/>
      <c r="D579" s="28"/>
      <c r="E579" s="28"/>
      <c r="F579" s="28"/>
      <c r="G579" s="28"/>
      <c r="H579" s="28"/>
      <c r="I579" s="28"/>
      <c r="J579" s="28"/>
      <c r="K579" s="36"/>
      <c r="L579" s="28"/>
      <c r="M579" s="28"/>
      <c r="N579" s="28"/>
      <c r="O579" s="28"/>
      <c r="P579" s="28"/>
      <c r="Q579" s="36"/>
      <c r="R579" s="36"/>
      <c r="S579" s="36"/>
      <c r="T579" s="36"/>
      <c r="U579" s="36"/>
      <c r="V579" s="36"/>
      <c r="W579" s="36"/>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c r="BE579" s="28"/>
      <c r="BF579" s="28"/>
      <c r="BG579" s="28"/>
      <c r="BH579" s="28"/>
      <c r="BI579" s="28"/>
      <c r="BJ579" s="28"/>
      <c r="BK579" s="28"/>
      <c r="BL579" s="28"/>
      <c r="BM579" s="28"/>
      <c r="BN579" s="28"/>
      <c r="BO579" s="28"/>
      <c r="BP579" s="28"/>
      <c r="BQ579" s="28"/>
      <c r="BR579" s="28"/>
      <c r="BS579" s="28"/>
      <c r="BT579" s="28"/>
      <c r="BU579" s="28"/>
      <c r="BV579" s="28"/>
      <c r="BW579" s="28"/>
      <c r="BX579" s="28"/>
      <c r="BY579" s="28"/>
      <c r="BZ579" s="28"/>
      <c r="CA579" s="28"/>
      <c r="CB579" s="28"/>
      <c r="CC579" s="28"/>
      <c r="CD579" s="28"/>
      <c r="CE579" s="28"/>
      <c r="CF579" s="28"/>
      <c r="CG579" s="28"/>
    </row>
    <row r="580" spans="1:85" ht="12.75" x14ac:dyDescent="0.2">
      <c r="A580" s="28"/>
      <c r="B580" s="28"/>
      <c r="C580" s="28"/>
      <c r="D580" s="28"/>
      <c r="E580" s="28"/>
      <c r="F580" s="28"/>
      <c r="G580" s="28"/>
      <c r="H580" s="28"/>
      <c r="I580" s="28"/>
      <c r="J580" s="28"/>
      <c r="K580" s="36"/>
      <c r="L580" s="28"/>
      <c r="M580" s="28"/>
      <c r="N580" s="28"/>
      <c r="O580" s="28"/>
      <c r="P580" s="28"/>
      <c r="Q580" s="36"/>
      <c r="R580" s="36"/>
      <c r="S580" s="36"/>
      <c r="T580" s="36"/>
      <c r="U580" s="36"/>
      <c r="V580" s="36"/>
      <c r="W580" s="36"/>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8"/>
      <c r="BW580" s="28"/>
      <c r="BX580" s="28"/>
      <c r="BY580" s="28"/>
      <c r="BZ580" s="28"/>
      <c r="CA580" s="28"/>
      <c r="CB580" s="28"/>
      <c r="CC580" s="28"/>
      <c r="CD580" s="28"/>
      <c r="CE580" s="28"/>
      <c r="CF580" s="28"/>
      <c r="CG580" s="28"/>
    </row>
    <row r="581" spans="1:85" ht="12.75" x14ac:dyDescent="0.2">
      <c r="A581" s="28"/>
      <c r="B581" s="28"/>
      <c r="C581" s="28"/>
      <c r="D581" s="28"/>
      <c r="E581" s="28"/>
      <c r="F581" s="28"/>
      <c r="G581" s="28"/>
      <c r="H581" s="28"/>
      <c r="I581" s="28"/>
      <c r="J581" s="28"/>
      <c r="K581" s="36"/>
      <c r="L581" s="28"/>
      <c r="M581" s="28"/>
      <c r="N581" s="28"/>
      <c r="O581" s="28"/>
      <c r="P581" s="28"/>
      <c r="Q581" s="36"/>
      <c r="R581" s="36"/>
      <c r="S581" s="36"/>
      <c r="T581" s="36"/>
      <c r="U581" s="36"/>
      <c r="V581" s="36"/>
      <c r="W581" s="36"/>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c r="BW581" s="28"/>
      <c r="BX581" s="28"/>
      <c r="BY581" s="28"/>
      <c r="BZ581" s="28"/>
      <c r="CA581" s="28"/>
      <c r="CB581" s="28"/>
      <c r="CC581" s="28"/>
      <c r="CD581" s="28"/>
      <c r="CE581" s="28"/>
      <c r="CF581" s="28"/>
      <c r="CG581" s="28"/>
    </row>
    <row r="582" spans="1:85" ht="12.75" x14ac:dyDescent="0.2">
      <c r="A582" s="28"/>
      <c r="B582" s="28"/>
      <c r="C582" s="28"/>
      <c r="D582" s="28"/>
      <c r="E582" s="28"/>
      <c r="F582" s="28"/>
      <c r="G582" s="28"/>
      <c r="H582" s="28"/>
      <c r="I582" s="28"/>
      <c r="J582" s="28"/>
      <c r="K582" s="36"/>
      <c r="L582" s="28"/>
      <c r="M582" s="28"/>
      <c r="N582" s="28"/>
      <c r="O582" s="28"/>
      <c r="P582" s="28"/>
      <c r="Q582" s="36"/>
      <c r="R582" s="36"/>
      <c r="S582" s="36"/>
      <c r="T582" s="36"/>
      <c r="U582" s="36"/>
      <c r="V582" s="36"/>
      <c r="W582" s="36"/>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8"/>
      <c r="BW582" s="28"/>
      <c r="BX582" s="28"/>
      <c r="BY582" s="28"/>
      <c r="BZ582" s="28"/>
      <c r="CA582" s="28"/>
      <c r="CB582" s="28"/>
      <c r="CC582" s="28"/>
      <c r="CD582" s="28"/>
      <c r="CE582" s="28"/>
      <c r="CF582" s="28"/>
      <c r="CG582" s="28"/>
    </row>
    <row r="583" spans="1:85" ht="12.75" x14ac:dyDescent="0.2">
      <c r="A583" s="28"/>
      <c r="B583" s="28"/>
      <c r="C583" s="28"/>
      <c r="D583" s="28"/>
      <c r="E583" s="28"/>
      <c r="F583" s="28"/>
      <c r="G583" s="28"/>
      <c r="H583" s="28"/>
      <c r="I583" s="28"/>
      <c r="J583" s="28"/>
      <c r="K583" s="36"/>
      <c r="L583" s="28"/>
      <c r="M583" s="28"/>
      <c r="N583" s="28"/>
      <c r="O583" s="28"/>
      <c r="P583" s="28"/>
      <c r="Q583" s="36"/>
      <c r="R583" s="36"/>
      <c r="S583" s="36"/>
      <c r="T583" s="36"/>
      <c r="U583" s="36"/>
      <c r="V583" s="36"/>
      <c r="W583" s="36"/>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c r="BE583" s="28"/>
      <c r="BF583" s="28"/>
      <c r="BG583" s="28"/>
      <c r="BH583" s="28"/>
      <c r="BI583" s="28"/>
      <c r="BJ583" s="28"/>
      <c r="BK583" s="28"/>
      <c r="BL583" s="28"/>
      <c r="BM583" s="28"/>
      <c r="BN583" s="28"/>
      <c r="BO583" s="28"/>
      <c r="BP583" s="28"/>
      <c r="BQ583" s="28"/>
      <c r="BR583" s="28"/>
      <c r="BS583" s="28"/>
      <c r="BT583" s="28"/>
      <c r="BU583" s="28"/>
      <c r="BV583" s="28"/>
      <c r="BW583" s="28"/>
      <c r="BX583" s="28"/>
      <c r="BY583" s="28"/>
      <c r="BZ583" s="28"/>
      <c r="CA583" s="28"/>
      <c r="CB583" s="28"/>
      <c r="CC583" s="28"/>
      <c r="CD583" s="28"/>
      <c r="CE583" s="28"/>
      <c r="CF583" s="28"/>
      <c r="CG583" s="28"/>
    </row>
    <row r="584" spans="1:85" ht="12.75" x14ac:dyDescent="0.2">
      <c r="A584" s="28"/>
      <c r="B584" s="28"/>
      <c r="C584" s="28"/>
      <c r="D584" s="28"/>
      <c r="E584" s="28"/>
      <c r="F584" s="28"/>
      <c r="G584" s="28"/>
      <c r="H584" s="28"/>
      <c r="I584" s="28"/>
      <c r="J584" s="28"/>
      <c r="K584" s="36"/>
      <c r="L584" s="28"/>
      <c r="M584" s="28"/>
      <c r="N584" s="28"/>
      <c r="O584" s="28"/>
      <c r="P584" s="28"/>
      <c r="Q584" s="36"/>
      <c r="R584" s="36"/>
      <c r="S584" s="36"/>
      <c r="T584" s="36"/>
      <c r="U584" s="36"/>
      <c r="V584" s="36"/>
      <c r="W584" s="36"/>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8"/>
      <c r="BW584" s="28"/>
      <c r="BX584" s="28"/>
      <c r="BY584" s="28"/>
      <c r="BZ584" s="28"/>
      <c r="CA584" s="28"/>
      <c r="CB584" s="28"/>
      <c r="CC584" s="28"/>
      <c r="CD584" s="28"/>
      <c r="CE584" s="28"/>
      <c r="CF584" s="28"/>
      <c r="CG584" s="28"/>
    </row>
    <row r="585" spans="1:85" ht="12.75" x14ac:dyDescent="0.2">
      <c r="A585" s="28"/>
      <c r="B585" s="28"/>
      <c r="C585" s="28"/>
      <c r="D585" s="28"/>
      <c r="E585" s="28"/>
      <c r="F585" s="28"/>
      <c r="G585" s="28"/>
      <c r="H585" s="28"/>
      <c r="I585" s="28"/>
      <c r="J585" s="28"/>
      <c r="K585" s="36"/>
      <c r="L585" s="28"/>
      <c r="M585" s="28"/>
      <c r="N585" s="28"/>
      <c r="O585" s="28"/>
      <c r="P585" s="28"/>
      <c r="Q585" s="36"/>
      <c r="R585" s="36"/>
      <c r="S585" s="36"/>
      <c r="T585" s="36"/>
      <c r="U585" s="36"/>
      <c r="V585" s="36"/>
      <c r="W585" s="36"/>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c r="BE585" s="28"/>
      <c r="BF585" s="28"/>
      <c r="BG585" s="28"/>
      <c r="BH585" s="28"/>
      <c r="BI585" s="28"/>
      <c r="BJ585" s="28"/>
      <c r="BK585" s="28"/>
      <c r="BL585" s="28"/>
      <c r="BM585" s="28"/>
      <c r="BN585" s="28"/>
      <c r="BO585" s="28"/>
      <c r="BP585" s="28"/>
      <c r="BQ585" s="28"/>
      <c r="BR585" s="28"/>
      <c r="BS585" s="28"/>
      <c r="BT585" s="28"/>
      <c r="BU585" s="28"/>
      <c r="BV585" s="28"/>
      <c r="BW585" s="28"/>
      <c r="BX585" s="28"/>
      <c r="BY585" s="28"/>
      <c r="BZ585" s="28"/>
      <c r="CA585" s="28"/>
      <c r="CB585" s="28"/>
      <c r="CC585" s="28"/>
      <c r="CD585" s="28"/>
      <c r="CE585" s="28"/>
      <c r="CF585" s="28"/>
      <c r="CG585" s="28"/>
    </row>
    <row r="586" spans="1:85" ht="12.75" x14ac:dyDescent="0.2">
      <c r="A586" s="28"/>
      <c r="B586" s="28"/>
      <c r="C586" s="28"/>
      <c r="D586" s="28"/>
      <c r="E586" s="28"/>
      <c r="F586" s="28"/>
      <c r="G586" s="28"/>
      <c r="H586" s="28"/>
      <c r="I586" s="28"/>
      <c r="J586" s="28"/>
      <c r="K586" s="36"/>
      <c r="L586" s="28"/>
      <c r="M586" s="28"/>
      <c r="N586" s="28"/>
      <c r="O586" s="28"/>
      <c r="P586" s="28"/>
      <c r="Q586" s="36"/>
      <c r="R586" s="36"/>
      <c r="S586" s="36"/>
      <c r="T586" s="36"/>
      <c r="U586" s="36"/>
      <c r="V586" s="36"/>
      <c r="W586" s="36"/>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8"/>
      <c r="BW586" s="28"/>
      <c r="BX586" s="28"/>
      <c r="BY586" s="28"/>
      <c r="BZ586" s="28"/>
      <c r="CA586" s="28"/>
      <c r="CB586" s="28"/>
      <c r="CC586" s="28"/>
      <c r="CD586" s="28"/>
      <c r="CE586" s="28"/>
      <c r="CF586" s="28"/>
      <c r="CG586" s="28"/>
    </row>
    <row r="587" spans="1:85" ht="12.75" x14ac:dyDescent="0.2">
      <c r="A587" s="28"/>
      <c r="B587" s="28"/>
      <c r="C587" s="28"/>
      <c r="D587" s="28"/>
      <c r="E587" s="28"/>
      <c r="F587" s="28"/>
      <c r="G587" s="28"/>
      <c r="H587" s="28"/>
      <c r="I587" s="28"/>
      <c r="J587" s="28"/>
      <c r="K587" s="36"/>
      <c r="L587" s="28"/>
      <c r="M587" s="28"/>
      <c r="N587" s="28"/>
      <c r="O587" s="28"/>
      <c r="P587" s="28"/>
      <c r="Q587" s="36"/>
      <c r="R587" s="36"/>
      <c r="S587" s="36"/>
      <c r="T587" s="36"/>
      <c r="U587" s="36"/>
      <c r="V587" s="36"/>
      <c r="W587" s="36"/>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c r="BE587" s="28"/>
      <c r="BF587" s="28"/>
      <c r="BG587" s="28"/>
      <c r="BH587" s="28"/>
      <c r="BI587" s="28"/>
      <c r="BJ587" s="28"/>
      <c r="BK587" s="28"/>
      <c r="BL587" s="28"/>
      <c r="BM587" s="28"/>
      <c r="BN587" s="28"/>
      <c r="BO587" s="28"/>
      <c r="BP587" s="28"/>
      <c r="BQ587" s="28"/>
      <c r="BR587" s="28"/>
      <c r="BS587" s="28"/>
      <c r="BT587" s="28"/>
      <c r="BU587" s="28"/>
      <c r="BV587" s="28"/>
      <c r="BW587" s="28"/>
      <c r="BX587" s="28"/>
      <c r="BY587" s="28"/>
      <c r="BZ587" s="28"/>
      <c r="CA587" s="28"/>
      <c r="CB587" s="28"/>
      <c r="CC587" s="28"/>
      <c r="CD587" s="28"/>
      <c r="CE587" s="28"/>
      <c r="CF587" s="28"/>
      <c r="CG587" s="28"/>
    </row>
    <row r="588" spans="1:85" ht="12.75" x14ac:dyDescent="0.2">
      <c r="A588" s="28"/>
      <c r="B588" s="28"/>
      <c r="C588" s="28"/>
      <c r="D588" s="28"/>
      <c r="E588" s="28"/>
      <c r="F588" s="28"/>
      <c r="G588" s="28"/>
      <c r="H588" s="28"/>
      <c r="I588" s="28"/>
      <c r="J588" s="28"/>
      <c r="K588" s="36"/>
      <c r="L588" s="28"/>
      <c r="M588" s="28"/>
      <c r="N588" s="28"/>
      <c r="O588" s="28"/>
      <c r="P588" s="28"/>
      <c r="Q588" s="36"/>
      <c r="R588" s="36"/>
      <c r="S588" s="36"/>
      <c r="T588" s="36"/>
      <c r="U588" s="36"/>
      <c r="V588" s="36"/>
      <c r="W588" s="36"/>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c r="BW588" s="28"/>
      <c r="BX588" s="28"/>
      <c r="BY588" s="28"/>
      <c r="BZ588" s="28"/>
      <c r="CA588" s="28"/>
      <c r="CB588" s="28"/>
      <c r="CC588" s="28"/>
      <c r="CD588" s="28"/>
      <c r="CE588" s="28"/>
      <c r="CF588" s="28"/>
      <c r="CG588" s="28"/>
    </row>
    <row r="589" spans="1:85" ht="12.75" x14ac:dyDescent="0.2">
      <c r="A589" s="28"/>
      <c r="B589" s="28"/>
      <c r="C589" s="28"/>
      <c r="D589" s="28"/>
      <c r="E589" s="28"/>
      <c r="F589" s="28"/>
      <c r="G589" s="28"/>
      <c r="H589" s="28"/>
      <c r="I589" s="28"/>
      <c r="J589" s="28"/>
      <c r="K589" s="36"/>
      <c r="L589" s="28"/>
      <c r="M589" s="28"/>
      <c r="N589" s="28"/>
      <c r="O589" s="28"/>
      <c r="P589" s="28"/>
      <c r="Q589" s="36"/>
      <c r="R589" s="36"/>
      <c r="S589" s="36"/>
      <c r="T589" s="36"/>
      <c r="U589" s="36"/>
      <c r="V589" s="36"/>
      <c r="W589" s="36"/>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c r="BE589" s="28"/>
      <c r="BF589" s="28"/>
      <c r="BG589" s="28"/>
      <c r="BH589" s="28"/>
      <c r="BI589" s="28"/>
      <c r="BJ589" s="28"/>
      <c r="BK589" s="28"/>
      <c r="BL589" s="28"/>
      <c r="BM589" s="28"/>
      <c r="BN589" s="28"/>
      <c r="BO589" s="28"/>
      <c r="BP589" s="28"/>
      <c r="BQ589" s="28"/>
      <c r="BR589" s="28"/>
      <c r="BS589" s="28"/>
      <c r="BT589" s="28"/>
      <c r="BU589" s="28"/>
      <c r="BV589" s="28"/>
      <c r="BW589" s="28"/>
      <c r="BX589" s="28"/>
      <c r="BY589" s="28"/>
      <c r="BZ589" s="28"/>
      <c r="CA589" s="28"/>
      <c r="CB589" s="28"/>
      <c r="CC589" s="28"/>
      <c r="CD589" s="28"/>
      <c r="CE589" s="28"/>
      <c r="CF589" s="28"/>
      <c r="CG589" s="28"/>
    </row>
    <row r="590" spans="1:85" ht="12.75" x14ac:dyDescent="0.2">
      <c r="A590" s="28"/>
      <c r="B590" s="28"/>
      <c r="C590" s="28"/>
      <c r="D590" s="28"/>
      <c r="E590" s="28"/>
      <c r="F590" s="28"/>
      <c r="G590" s="28"/>
      <c r="H590" s="28"/>
      <c r="I590" s="28"/>
      <c r="J590" s="28"/>
      <c r="K590" s="36"/>
      <c r="L590" s="28"/>
      <c r="M590" s="28"/>
      <c r="N590" s="28"/>
      <c r="O590" s="28"/>
      <c r="P590" s="28"/>
      <c r="Q590" s="36"/>
      <c r="R590" s="36"/>
      <c r="S590" s="36"/>
      <c r="T590" s="36"/>
      <c r="U590" s="36"/>
      <c r="V590" s="36"/>
      <c r="W590" s="36"/>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c r="BW590" s="28"/>
      <c r="BX590" s="28"/>
      <c r="BY590" s="28"/>
      <c r="BZ590" s="28"/>
      <c r="CA590" s="28"/>
      <c r="CB590" s="28"/>
      <c r="CC590" s="28"/>
      <c r="CD590" s="28"/>
      <c r="CE590" s="28"/>
      <c r="CF590" s="28"/>
      <c r="CG590" s="28"/>
    </row>
    <row r="591" spans="1:85" ht="12.75" x14ac:dyDescent="0.2">
      <c r="A591" s="28"/>
      <c r="B591" s="28"/>
      <c r="C591" s="28"/>
      <c r="D591" s="28"/>
      <c r="E591" s="28"/>
      <c r="F591" s="28"/>
      <c r="G591" s="28"/>
      <c r="H591" s="28"/>
      <c r="I591" s="28"/>
      <c r="J591" s="28"/>
      <c r="K591" s="36"/>
      <c r="L591" s="28"/>
      <c r="M591" s="28"/>
      <c r="N591" s="28"/>
      <c r="O591" s="28"/>
      <c r="P591" s="28"/>
      <c r="Q591" s="36"/>
      <c r="R591" s="36"/>
      <c r="S591" s="36"/>
      <c r="T591" s="36"/>
      <c r="U591" s="36"/>
      <c r="V591" s="36"/>
      <c r="W591" s="36"/>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c r="BE591" s="28"/>
      <c r="BF591" s="28"/>
      <c r="BG591" s="28"/>
      <c r="BH591" s="28"/>
      <c r="BI591" s="28"/>
      <c r="BJ591" s="28"/>
      <c r="BK591" s="28"/>
      <c r="BL591" s="28"/>
      <c r="BM591" s="28"/>
      <c r="BN591" s="28"/>
      <c r="BO591" s="28"/>
      <c r="BP591" s="28"/>
      <c r="BQ591" s="28"/>
      <c r="BR591" s="28"/>
      <c r="BS591" s="28"/>
      <c r="BT591" s="28"/>
      <c r="BU591" s="28"/>
      <c r="BV591" s="28"/>
      <c r="BW591" s="28"/>
      <c r="BX591" s="28"/>
      <c r="BY591" s="28"/>
      <c r="BZ591" s="28"/>
      <c r="CA591" s="28"/>
      <c r="CB591" s="28"/>
      <c r="CC591" s="28"/>
      <c r="CD591" s="28"/>
      <c r="CE591" s="28"/>
      <c r="CF591" s="28"/>
      <c r="CG591" s="28"/>
    </row>
    <row r="592" spans="1:85" ht="12.75" x14ac:dyDescent="0.2">
      <c r="A592" s="28"/>
      <c r="B592" s="28"/>
      <c r="C592" s="28"/>
      <c r="D592" s="28"/>
      <c r="E592" s="28"/>
      <c r="F592" s="28"/>
      <c r="G592" s="28"/>
      <c r="H592" s="28"/>
      <c r="I592" s="28"/>
      <c r="J592" s="28"/>
      <c r="K592" s="36"/>
      <c r="L592" s="28"/>
      <c r="M592" s="28"/>
      <c r="N592" s="28"/>
      <c r="O592" s="28"/>
      <c r="P592" s="28"/>
      <c r="Q592" s="36"/>
      <c r="R592" s="36"/>
      <c r="S592" s="36"/>
      <c r="T592" s="36"/>
      <c r="U592" s="36"/>
      <c r="V592" s="36"/>
      <c r="W592" s="36"/>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8"/>
      <c r="BW592" s="28"/>
      <c r="BX592" s="28"/>
      <c r="BY592" s="28"/>
      <c r="BZ592" s="28"/>
      <c r="CA592" s="28"/>
      <c r="CB592" s="28"/>
      <c r="CC592" s="28"/>
      <c r="CD592" s="28"/>
      <c r="CE592" s="28"/>
      <c r="CF592" s="28"/>
      <c r="CG592" s="28"/>
    </row>
    <row r="593" spans="1:85" ht="12.75" x14ac:dyDescent="0.2">
      <c r="A593" s="28"/>
      <c r="B593" s="28"/>
      <c r="C593" s="28"/>
      <c r="D593" s="28"/>
      <c r="E593" s="28"/>
      <c r="F593" s="28"/>
      <c r="G593" s="28"/>
      <c r="H593" s="28"/>
      <c r="I593" s="28"/>
      <c r="J593" s="28"/>
      <c r="K593" s="36"/>
      <c r="L593" s="28"/>
      <c r="M593" s="28"/>
      <c r="N593" s="28"/>
      <c r="O593" s="28"/>
      <c r="P593" s="28"/>
      <c r="Q593" s="36"/>
      <c r="R593" s="36"/>
      <c r="S593" s="36"/>
      <c r="T593" s="36"/>
      <c r="U593" s="36"/>
      <c r="V593" s="36"/>
      <c r="W593" s="36"/>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c r="BE593" s="28"/>
      <c r="BF593" s="28"/>
      <c r="BG593" s="28"/>
      <c r="BH593" s="28"/>
      <c r="BI593" s="28"/>
      <c r="BJ593" s="28"/>
      <c r="BK593" s="28"/>
      <c r="BL593" s="28"/>
      <c r="BM593" s="28"/>
      <c r="BN593" s="28"/>
      <c r="BO593" s="28"/>
      <c r="BP593" s="28"/>
      <c r="BQ593" s="28"/>
      <c r="BR593" s="28"/>
      <c r="BS593" s="28"/>
      <c r="BT593" s="28"/>
      <c r="BU593" s="28"/>
      <c r="BV593" s="28"/>
      <c r="BW593" s="28"/>
      <c r="BX593" s="28"/>
      <c r="BY593" s="28"/>
      <c r="BZ593" s="28"/>
      <c r="CA593" s="28"/>
      <c r="CB593" s="28"/>
      <c r="CC593" s="28"/>
      <c r="CD593" s="28"/>
      <c r="CE593" s="28"/>
      <c r="CF593" s="28"/>
      <c r="CG593" s="28"/>
    </row>
    <row r="594" spans="1:85" ht="12.75" x14ac:dyDescent="0.2">
      <c r="A594" s="28"/>
      <c r="B594" s="28"/>
      <c r="C594" s="28"/>
      <c r="D594" s="28"/>
      <c r="E594" s="28"/>
      <c r="F594" s="28"/>
      <c r="G594" s="28"/>
      <c r="H594" s="28"/>
      <c r="I594" s="28"/>
      <c r="J594" s="28"/>
      <c r="K594" s="36"/>
      <c r="L594" s="28"/>
      <c r="M594" s="28"/>
      <c r="N594" s="28"/>
      <c r="O594" s="28"/>
      <c r="P594" s="28"/>
      <c r="Q594" s="36"/>
      <c r="R594" s="36"/>
      <c r="S594" s="36"/>
      <c r="T594" s="36"/>
      <c r="U594" s="36"/>
      <c r="V594" s="36"/>
      <c r="W594" s="36"/>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8"/>
      <c r="BW594" s="28"/>
      <c r="BX594" s="28"/>
      <c r="BY594" s="28"/>
      <c r="BZ594" s="28"/>
      <c r="CA594" s="28"/>
      <c r="CB594" s="28"/>
      <c r="CC594" s="28"/>
      <c r="CD594" s="28"/>
      <c r="CE594" s="28"/>
      <c r="CF594" s="28"/>
      <c r="CG594" s="28"/>
    </row>
    <row r="595" spans="1:85" ht="12.75" x14ac:dyDescent="0.2">
      <c r="A595" s="28"/>
      <c r="B595" s="28"/>
      <c r="C595" s="28"/>
      <c r="D595" s="28"/>
      <c r="E595" s="28"/>
      <c r="F595" s="28"/>
      <c r="G595" s="28"/>
      <c r="H595" s="28"/>
      <c r="I595" s="28"/>
      <c r="J595" s="28"/>
      <c r="K595" s="36"/>
      <c r="L595" s="28"/>
      <c r="M595" s="28"/>
      <c r="N595" s="28"/>
      <c r="O595" s="28"/>
      <c r="P595" s="28"/>
      <c r="Q595" s="36"/>
      <c r="R595" s="36"/>
      <c r="S595" s="36"/>
      <c r="T595" s="36"/>
      <c r="U595" s="36"/>
      <c r="V595" s="36"/>
      <c r="W595" s="36"/>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c r="BE595" s="28"/>
      <c r="BF595" s="28"/>
      <c r="BG595" s="28"/>
      <c r="BH595" s="28"/>
      <c r="BI595" s="28"/>
      <c r="BJ595" s="28"/>
      <c r="BK595" s="28"/>
      <c r="BL595" s="28"/>
      <c r="BM595" s="28"/>
      <c r="BN595" s="28"/>
      <c r="BO595" s="28"/>
      <c r="BP595" s="28"/>
      <c r="BQ595" s="28"/>
      <c r="BR595" s="28"/>
      <c r="BS595" s="28"/>
      <c r="BT595" s="28"/>
      <c r="BU595" s="28"/>
      <c r="BV595" s="28"/>
      <c r="BW595" s="28"/>
      <c r="BX595" s="28"/>
      <c r="BY595" s="28"/>
      <c r="BZ595" s="28"/>
      <c r="CA595" s="28"/>
      <c r="CB595" s="28"/>
      <c r="CC595" s="28"/>
      <c r="CD595" s="28"/>
      <c r="CE595" s="28"/>
      <c r="CF595" s="28"/>
      <c r="CG595" s="28"/>
    </row>
    <row r="596" spans="1:85" ht="12.75" x14ac:dyDescent="0.2">
      <c r="A596" s="28"/>
      <c r="B596" s="28"/>
      <c r="C596" s="28"/>
      <c r="D596" s="28"/>
      <c r="E596" s="28"/>
      <c r="F596" s="28"/>
      <c r="G596" s="28"/>
      <c r="H596" s="28"/>
      <c r="I596" s="28"/>
      <c r="J596" s="28"/>
      <c r="K596" s="36"/>
      <c r="L596" s="28"/>
      <c r="M596" s="28"/>
      <c r="N596" s="28"/>
      <c r="O596" s="28"/>
      <c r="P596" s="28"/>
      <c r="Q596" s="36"/>
      <c r="R596" s="36"/>
      <c r="S596" s="36"/>
      <c r="T596" s="36"/>
      <c r="U596" s="36"/>
      <c r="V596" s="36"/>
      <c r="W596" s="36"/>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8"/>
      <c r="BW596" s="28"/>
      <c r="BX596" s="28"/>
      <c r="BY596" s="28"/>
      <c r="BZ596" s="28"/>
      <c r="CA596" s="28"/>
      <c r="CB596" s="28"/>
      <c r="CC596" s="28"/>
      <c r="CD596" s="28"/>
      <c r="CE596" s="28"/>
      <c r="CF596" s="28"/>
      <c r="CG596" s="28"/>
    </row>
    <row r="597" spans="1:85" ht="12.75" x14ac:dyDescent="0.2">
      <c r="A597" s="28"/>
      <c r="B597" s="28"/>
      <c r="C597" s="28"/>
      <c r="D597" s="28"/>
      <c r="E597" s="28"/>
      <c r="F597" s="28"/>
      <c r="G597" s="28"/>
      <c r="H597" s="28"/>
      <c r="I597" s="28"/>
      <c r="J597" s="28"/>
      <c r="K597" s="36"/>
      <c r="L597" s="28"/>
      <c r="M597" s="28"/>
      <c r="N597" s="28"/>
      <c r="O597" s="28"/>
      <c r="P597" s="28"/>
      <c r="Q597" s="36"/>
      <c r="R597" s="36"/>
      <c r="S597" s="36"/>
      <c r="T597" s="36"/>
      <c r="U597" s="36"/>
      <c r="V597" s="36"/>
      <c r="W597" s="36"/>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c r="BE597" s="28"/>
      <c r="BF597" s="28"/>
      <c r="BG597" s="28"/>
      <c r="BH597" s="28"/>
      <c r="BI597" s="28"/>
      <c r="BJ597" s="28"/>
      <c r="BK597" s="28"/>
      <c r="BL597" s="28"/>
      <c r="BM597" s="28"/>
      <c r="BN597" s="28"/>
      <c r="BO597" s="28"/>
      <c r="BP597" s="28"/>
      <c r="BQ597" s="28"/>
      <c r="BR597" s="28"/>
      <c r="BS597" s="28"/>
      <c r="BT597" s="28"/>
      <c r="BU597" s="28"/>
      <c r="BV597" s="28"/>
      <c r="BW597" s="28"/>
      <c r="BX597" s="28"/>
      <c r="BY597" s="28"/>
      <c r="BZ597" s="28"/>
      <c r="CA597" s="28"/>
      <c r="CB597" s="28"/>
      <c r="CC597" s="28"/>
      <c r="CD597" s="28"/>
      <c r="CE597" s="28"/>
      <c r="CF597" s="28"/>
      <c r="CG597" s="28"/>
    </row>
    <row r="598" spans="1:85" ht="12.75" x14ac:dyDescent="0.2">
      <c r="A598" s="28"/>
      <c r="B598" s="28"/>
      <c r="C598" s="28"/>
      <c r="D598" s="28"/>
      <c r="E598" s="28"/>
      <c r="F598" s="28"/>
      <c r="G598" s="28"/>
      <c r="H598" s="28"/>
      <c r="I598" s="28"/>
      <c r="J598" s="28"/>
      <c r="K598" s="36"/>
      <c r="L598" s="28"/>
      <c r="M598" s="28"/>
      <c r="N598" s="28"/>
      <c r="O598" s="28"/>
      <c r="P598" s="28"/>
      <c r="Q598" s="36"/>
      <c r="R598" s="36"/>
      <c r="S598" s="36"/>
      <c r="T598" s="36"/>
      <c r="U598" s="36"/>
      <c r="V598" s="36"/>
      <c r="W598" s="36"/>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8"/>
      <c r="BW598" s="28"/>
      <c r="BX598" s="28"/>
      <c r="BY598" s="28"/>
      <c r="BZ598" s="28"/>
      <c r="CA598" s="28"/>
      <c r="CB598" s="28"/>
      <c r="CC598" s="28"/>
      <c r="CD598" s="28"/>
      <c r="CE598" s="28"/>
      <c r="CF598" s="28"/>
      <c r="CG598" s="28"/>
    </row>
    <row r="599" spans="1:85" ht="12.75" x14ac:dyDescent="0.2">
      <c r="A599" s="28"/>
      <c r="B599" s="28"/>
      <c r="C599" s="28"/>
      <c r="D599" s="28"/>
      <c r="E599" s="28"/>
      <c r="F599" s="28"/>
      <c r="G599" s="28"/>
      <c r="H599" s="28"/>
      <c r="I599" s="28"/>
      <c r="J599" s="28"/>
      <c r="K599" s="36"/>
      <c r="L599" s="28"/>
      <c r="M599" s="28"/>
      <c r="N599" s="28"/>
      <c r="O599" s="28"/>
      <c r="P599" s="28"/>
      <c r="Q599" s="36"/>
      <c r="R599" s="36"/>
      <c r="S599" s="36"/>
      <c r="T599" s="36"/>
      <c r="U599" s="36"/>
      <c r="V599" s="36"/>
      <c r="W599" s="36"/>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c r="BE599" s="28"/>
      <c r="BF599" s="28"/>
      <c r="BG599" s="28"/>
      <c r="BH599" s="28"/>
      <c r="BI599" s="28"/>
      <c r="BJ599" s="28"/>
      <c r="BK599" s="28"/>
      <c r="BL599" s="28"/>
      <c r="BM599" s="28"/>
      <c r="BN599" s="28"/>
      <c r="BO599" s="28"/>
      <c r="BP599" s="28"/>
      <c r="BQ599" s="28"/>
      <c r="BR599" s="28"/>
      <c r="BS599" s="28"/>
      <c r="BT599" s="28"/>
      <c r="BU599" s="28"/>
      <c r="BV599" s="28"/>
      <c r="BW599" s="28"/>
      <c r="BX599" s="28"/>
      <c r="BY599" s="28"/>
      <c r="BZ599" s="28"/>
      <c r="CA599" s="28"/>
      <c r="CB599" s="28"/>
      <c r="CC599" s="28"/>
      <c r="CD599" s="28"/>
      <c r="CE599" s="28"/>
      <c r="CF599" s="28"/>
      <c r="CG599" s="28"/>
    </row>
    <row r="600" spans="1:85" ht="12.75" x14ac:dyDescent="0.2">
      <c r="A600" s="28"/>
      <c r="B600" s="28"/>
      <c r="C600" s="28"/>
      <c r="D600" s="28"/>
      <c r="E600" s="28"/>
      <c r="F600" s="28"/>
      <c r="G600" s="28"/>
      <c r="H600" s="28"/>
      <c r="I600" s="28"/>
      <c r="J600" s="28"/>
      <c r="K600" s="36"/>
      <c r="L600" s="28"/>
      <c r="M600" s="28"/>
      <c r="N600" s="28"/>
      <c r="O600" s="28"/>
      <c r="P600" s="28"/>
      <c r="Q600" s="36"/>
      <c r="R600" s="36"/>
      <c r="S600" s="36"/>
      <c r="T600" s="36"/>
      <c r="U600" s="36"/>
      <c r="V600" s="36"/>
      <c r="W600" s="36"/>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8"/>
      <c r="BW600" s="28"/>
      <c r="BX600" s="28"/>
      <c r="BY600" s="28"/>
      <c r="BZ600" s="28"/>
      <c r="CA600" s="28"/>
      <c r="CB600" s="28"/>
      <c r="CC600" s="28"/>
      <c r="CD600" s="28"/>
      <c r="CE600" s="28"/>
      <c r="CF600" s="28"/>
      <c r="CG600" s="28"/>
    </row>
    <row r="601" spans="1:85" ht="12.75" x14ac:dyDescent="0.2">
      <c r="A601" s="28"/>
      <c r="B601" s="28"/>
      <c r="C601" s="28"/>
      <c r="D601" s="28"/>
      <c r="E601" s="28"/>
      <c r="F601" s="28"/>
      <c r="G601" s="28"/>
      <c r="H601" s="28"/>
      <c r="I601" s="28"/>
      <c r="J601" s="28"/>
      <c r="K601" s="36"/>
      <c r="L601" s="28"/>
      <c r="M601" s="28"/>
      <c r="N601" s="28"/>
      <c r="O601" s="28"/>
      <c r="P601" s="28"/>
      <c r="Q601" s="36"/>
      <c r="R601" s="36"/>
      <c r="S601" s="36"/>
      <c r="T601" s="36"/>
      <c r="U601" s="36"/>
      <c r="V601" s="36"/>
      <c r="W601" s="36"/>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c r="BE601" s="28"/>
      <c r="BF601" s="28"/>
      <c r="BG601" s="28"/>
      <c r="BH601" s="28"/>
      <c r="BI601" s="28"/>
      <c r="BJ601" s="28"/>
      <c r="BK601" s="28"/>
      <c r="BL601" s="28"/>
      <c r="BM601" s="28"/>
      <c r="BN601" s="28"/>
      <c r="BO601" s="28"/>
      <c r="BP601" s="28"/>
      <c r="BQ601" s="28"/>
      <c r="BR601" s="28"/>
      <c r="BS601" s="28"/>
      <c r="BT601" s="28"/>
      <c r="BU601" s="28"/>
      <c r="BV601" s="28"/>
      <c r="BW601" s="28"/>
      <c r="BX601" s="28"/>
      <c r="BY601" s="28"/>
      <c r="BZ601" s="28"/>
      <c r="CA601" s="28"/>
      <c r="CB601" s="28"/>
      <c r="CC601" s="28"/>
      <c r="CD601" s="28"/>
      <c r="CE601" s="28"/>
      <c r="CF601" s="28"/>
      <c r="CG601" s="28"/>
    </row>
    <row r="602" spans="1:85" ht="12.75" x14ac:dyDescent="0.2">
      <c r="A602" s="28"/>
      <c r="B602" s="28"/>
      <c r="C602" s="28"/>
      <c r="D602" s="28"/>
      <c r="E602" s="28"/>
      <c r="F602" s="28"/>
      <c r="G602" s="28"/>
      <c r="H602" s="28"/>
      <c r="I602" s="28"/>
      <c r="J602" s="28"/>
      <c r="K602" s="36"/>
      <c r="L602" s="28"/>
      <c r="M602" s="28"/>
      <c r="N602" s="28"/>
      <c r="O602" s="28"/>
      <c r="P602" s="28"/>
      <c r="Q602" s="36"/>
      <c r="R602" s="36"/>
      <c r="S602" s="36"/>
      <c r="T602" s="36"/>
      <c r="U602" s="36"/>
      <c r="V602" s="36"/>
      <c r="W602" s="36"/>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8"/>
      <c r="BW602" s="28"/>
      <c r="BX602" s="28"/>
      <c r="BY602" s="28"/>
      <c r="BZ602" s="28"/>
      <c r="CA602" s="28"/>
      <c r="CB602" s="28"/>
      <c r="CC602" s="28"/>
      <c r="CD602" s="28"/>
      <c r="CE602" s="28"/>
      <c r="CF602" s="28"/>
      <c r="CG602" s="28"/>
    </row>
    <row r="603" spans="1:85" ht="12.75" x14ac:dyDescent="0.2">
      <c r="A603" s="28"/>
      <c r="B603" s="28"/>
      <c r="C603" s="28"/>
      <c r="D603" s="28"/>
      <c r="E603" s="28"/>
      <c r="F603" s="28"/>
      <c r="G603" s="28"/>
      <c r="H603" s="28"/>
      <c r="I603" s="28"/>
      <c r="J603" s="28"/>
      <c r="K603" s="36"/>
      <c r="L603" s="28"/>
      <c r="M603" s="28"/>
      <c r="N603" s="28"/>
      <c r="O603" s="28"/>
      <c r="P603" s="28"/>
      <c r="Q603" s="36"/>
      <c r="R603" s="36"/>
      <c r="S603" s="36"/>
      <c r="T603" s="36"/>
      <c r="U603" s="36"/>
      <c r="V603" s="36"/>
      <c r="W603" s="36"/>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c r="BE603" s="28"/>
      <c r="BF603" s="28"/>
      <c r="BG603" s="28"/>
      <c r="BH603" s="28"/>
      <c r="BI603" s="28"/>
      <c r="BJ603" s="28"/>
      <c r="BK603" s="28"/>
      <c r="BL603" s="28"/>
      <c r="BM603" s="28"/>
      <c r="BN603" s="28"/>
      <c r="BO603" s="28"/>
      <c r="BP603" s="28"/>
      <c r="BQ603" s="28"/>
      <c r="BR603" s="28"/>
      <c r="BS603" s="28"/>
      <c r="BT603" s="28"/>
      <c r="BU603" s="28"/>
      <c r="BV603" s="28"/>
      <c r="BW603" s="28"/>
      <c r="BX603" s="28"/>
      <c r="BY603" s="28"/>
      <c r="BZ603" s="28"/>
      <c r="CA603" s="28"/>
      <c r="CB603" s="28"/>
      <c r="CC603" s="28"/>
      <c r="CD603" s="28"/>
      <c r="CE603" s="28"/>
      <c r="CF603" s="28"/>
      <c r="CG603" s="28"/>
    </row>
    <row r="604" spans="1:85" ht="12.75" x14ac:dyDescent="0.2">
      <c r="A604" s="28"/>
      <c r="B604" s="28"/>
      <c r="C604" s="28"/>
      <c r="D604" s="28"/>
      <c r="E604" s="28"/>
      <c r="F604" s="28"/>
      <c r="G604" s="28"/>
      <c r="H604" s="28"/>
      <c r="I604" s="28"/>
      <c r="J604" s="28"/>
      <c r="K604" s="36"/>
      <c r="L604" s="28"/>
      <c r="M604" s="28"/>
      <c r="N604" s="28"/>
      <c r="O604" s="28"/>
      <c r="P604" s="28"/>
      <c r="Q604" s="36"/>
      <c r="R604" s="36"/>
      <c r="S604" s="36"/>
      <c r="T604" s="36"/>
      <c r="U604" s="36"/>
      <c r="V604" s="36"/>
      <c r="W604" s="36"/>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8"/>
      <c r="BW604" s="28"/>
      <c r="BX604" s="28"/>
      <c r="BY604" s="28"/>
      <c r="BZ604" s="28"/>
      <c r="CA604" s="28"/>
      <c r="CB604" s="28"/>
      <c r="CC604" s="28"/>
      <c r="CD604" s="28"/>
      <c r="CE604" s="28"/>
      <c r="CF604" s="28"/>
      <c r="CG604" s="28"/>
    </row>
    <row r="605" spans="1:85" ht="12.75" x14ac:dyDescent="0.2">
      <c r="A605" s="28"/>
      <c r="B605" s="28"/>
      <c r="C605" s="28"/>
      <c r="D605" s="28"/>
      <c r="E605" s="28"/>
      <c r="F605" s="28"/>
      <c r="G605" s="28"/>
      <c r="H605" s="28"/>
      <c r="I605" s="28"/>
      <c r="J605" s="28"/>
      <c r="K605" s="36"/>
      <c r="L605" s="28"/>
      <c r="M605" s="28"/>
      <c r="N605" s="28"/>
      <c r="O605" s="28"/>
      <c r="P605" s="28"/>
      <c r="Q605" s="36"/>
      <c r="R605" s="36"/>
      <c r="S605" s="36"/>
      <c r="T605" s="36"/>
      <c r="U605" s="36"/>
      <c r="V605" s="36"/>
      <c r="W605" s="36"/>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c r="BE605" s="28"/>
      <c r="BF605" s="28"/>
      <c r="BG605" s="28"/>
      <c r="BH605" s="28"/>
      <c r="BI605" s="28"/>
      <c r="BJ605" s="28"/>
      <c r="BK605" s="28"/>
      <c r="BL605" s="28"/>
      <c r="BM605" s="28"/>
      <c r="BN605" s="28"/>
      <c r="BO605" s="28"/>
      <c r="BP605" s="28"/>
      <c r="BQ605" s="28"/>
      <c r="BR605" s="28"/>
      <c r="BS605" s="28"/>
      <c r="BT605" s="28"/>
      <c r="BU605" s="28"/>
      <c r="BV605" s="28"/>
      <c r="BW605" s="28"/>
      <c r="BX605" s="28"/>
      <c r="BY605" s="28"/>
      <c r="BZ605" s="28"/>
      <c r="CA605" s="28"/>
      <c r="CB605" s="28"/>
      <c r="CC605" s="28"/>
      <c r="CD605" s="28"/>
      <c r="CE605" s="28"/>
      <c r="CF605" s="28"/>
      <c r="CG605" s="28"/>
    </row>
    <row r="606" spans="1:85" ht="12.75" x14ac:dyDescent="0.2">
      <c r="A606" s="28"/>
      <c r="B606" s="28"/>
      <c r="C606" s="28"/>
      <c r="D606" s="28"/>
      <c r="E606" s="28"/>
      <c r="F606" s="28"/>
      <c r="G606" s="28"/>
      <c r="H606" s="28"/>
      <c r="I606" s="28"/>
      <c r="J606" s="28"/>
      <c r="K606" s="36"/>
      <c r="L606" s="28"/>
      <c r="M606" s="28"/>
      <c r="N606" s="28"/>
      <c r="O606" s="28"/>
      <c r="P606" s="28"/>
      <c r="Q606" s="36"/>
      <c r="R606" s="36"/>
      <c r="S606" s="36"/>
      <c r="T606" s="36"/>
      <c r="U606" s="36"/>
      <c r="V606" s="36"/>
      <c r="W606" s="36"/>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8"/>
      <c r="BW606" s="28"/>
      <c r="BX606" s="28"/>
      <c r="BY606" s="28"/>
      <c r="BZ606" s="28"/>
      <c r="CA606" s="28"/>
      <c r="CB606" s="28"/>
      <c r="CC606" s="28"/>
      <c r="CD606" s="28"/>
      <c r="CE606" s="28"/>
      <c r="CF606" s="28"/>
      <c r="CG606" s="28"/>
    </row>
    <row r="607" spans="1:85" ht="12.75" x14ac:dyDescent="0.2">
      <c r="A607" s="28"/>
      <c r="B607" s="28"/>
      <c r="C607" s="28"/>
      <c r="D607" s="28"/>
      <c r="E607" s="28"/>
      <c r="F607" s="28"/>
      <c r="G607" s="28"/>
      <c r="H607" s="28"/>
      <c r="I607" s="28"/>
      <c r="J607" s="28"/>
      <c r="K607" s="36"/>
      <c r="L607" s="28"/>
      <c r="M607" s="28"/>
      <c r="N607" s="28"/>
      <c r="O607" s="28"/>
      <c r="P607" s="28"/>
      <c r="Q607" s="36"/>
      <c r="R607" s="36"/>
      <c r="S607" s="36"/>
      <c r="T607" s="36"/>
      <c r="U607" s="36"/>
      <c r="V607" s="36"/>
      <c r="W607" s="36"/>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c r="BE607" s="28"/>
      <c r="BF607" s="28"/>
      <c r="BG607" s="28"/>
      <c r="BH607" s="28"/>
      <c r="BI607" s="28"/>
      <c r="BJ607" s="28"/>
      <c r="BK607" s="28"/>
      <c r="BL607" s="28"/>
      <c r="BM607" s="28"/>
      <c r="BN607" s="28"/>
      <c r="BO607" s="28"/>
      <c r="BP607" s="28"/>
      <c r="BQ607" s="28"/>
      <c r="BR607" s="28"/>
      <c r="BS607" s="28"/>
      <c r="BT607" s="28"/>
      <c r="BU607" s="28"/>
      <c r="BV607" s="28"/>
      <c r="BW607" s="28"/>
      <c r="BX607" s="28"/>
      <c r="BY607" s="28"/>
      <c r="BZ607" s="28"/>
      <c r="CA607" s="28"/>
      <c r="CB607" s="28"/>
      <c r="CC607" s="28"/>
      <c r="CD607" s="28"/>
      <c r="CE607" s="28"/>
      <c r="CF607" s="28"/>
      <c r="CG607" s="28"/>
    </row>
    <row r="608" spans="1:85" ht="12.75" x14ac:dyDescent="0.2">
      <c r="A608" s="28"/>
      <c r="B608" s="28"/>
      <c r="C608" s="28"/>
      <c r="D608" s="28"/>
      <c r="E608" s="28"/>
      <c r="F608" s="28"/>
      <c r="G608" s="28"/>
      <c r="H608" s="28"/>
      <c r="I608" s="28"/>
      <c r="J608" s="28"/>
      <c r="K608" s="36"/>
      <c r="L608" s="28"/>
      <c r="M608" s="28"/>
      <c r="N608" s="28"/>
      <c r="O608" s="28"/>
      <c r="P608" s="28"/>
      <c r="Q608" s="36"/>
      <c r="R608" s="36"/>
      <c r="S608" s="36"/>
      <c r="T608" s="36"/>
      <c r="U608" s="36"/>
      <c r="V608" s="36"/>
      <c r="W608" s="36"/>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8"/>
      <c r="BW608" s="28"/>
      <c r="BX608" s="28"/>
      <c r="BY608" s="28"/>
      <c r="BZ608" s="28"/>
      <c r="CA608" s="28"/>
      <c r="CB608" s="28"/>
      <c r="CC608" s="28"/>
      <c r="CD608" s="28"/>
      <c r="CE608" s="28"/>
      <c r="CF608" s="28"/>
      <c r="CG608" s="28"/>
    </row>
    <row r="609" spans="1:85" ht="12.75" x14ac:dyDescent="0.2">
      <c r="A609" s="28"/>
      <c r="B609" s="28"/>
      <c r="C609" s="28"/>
      <c r="D609" s="28"/>
      <c r="E609" s="28"/>
      <c r="F609" s="28"/>
      <c r="G609" s="28"/>
      <c r="H609" s="28"/>
      <c r="I609" s="28"/>
      <c r="J609" s="28"/>
      <c r="K609" s="36"/>
      <c r="L609" s="28"/>
      <c r="M609" s="28"/>
      <c r="N609" s="28"/>
      <c r="O609" s="28"/>
      <c r="P609" s="28"/>
      <c r="Q609" s="36"/>
      <c r="R609" s="36"/>
      <c r="S609" s="36"/>
      <c r="T609" s="36"/>
      <c r="U609" s="36"/>
      <c r="V609" s="36"/>
      <c r="W609" s="36"/>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c r="BE609" s="28"/>
      <c r="BF609" s="28"/>
      <c r="BG609" s="28"/>
      <c r="BH609" s="28"/>
      <c r="BI609" s="28"/>
      <c r="BJ609" s="28"/>
      <c r="BK609" s="28"/>
      <c r="BL609" s="28"/>
      <c r="BM609" s="28"/>
      <c r="BN609" s="28"/>
      <c r="BO609" s="28"/>
      <c r="BP609" s="28"/>
      <c r="BQ609" s="28"/>
      <c r="BR609" s="28"/>
      <c r="BS609" s="28"/>
      <c r="BT609" s="28"/>
      <c r="BU609" s="28"/>
      <c r="BV609" s="28"/>
      <c r="BW609" s="28"/>
      <c r="BX609" s="28"/>
      <c r="BY609" s="28"/>
      <c r="BZ609" s="28"/>
      <c r="CA609" s="28"/>
      <c r="CB609" s="28"/>
      <c r="CC609" s="28"/>
      <c r="CD609" s="28"/>
      <c r="CE609" s="28"/>
      <c r="CF609" s="28"/>
      <c r="CG609" s="28"/>
    </row>
    <row r="610" spans="1:85" ht="12.75" x14ac:dyDescent="0.2">
      <c r="A610" s="28"/>
      <c r="B610" s="28"/>
      <c r="C610" s="28"/>
      <c r="D610" s="28"/>
      <c r="E610" s="28"/>
      <c r="F610" s="28"/>
      <c r="G610" s="28"/>
      <c r="H610" s="28"/>
      <c r="I610" s="28"/>
      <c r="J610" s="28"/>
      <c r="K610" s="36"/>
      <c r="L610" s="28"/>
      <c r="M610" s="28"/>
      <c r="N610" s="28"/>
      <c r="O610" s="28"/>
      <c r="P610" s="28"/>
      <c r="Q610" s="36"/>
      <c r="R610" s="36"/>
      <c r="S610" s="36"/>
      <c r="T610" s="36"/>
      <c r="U610" s="36"/>
      <c r="V610" s="36"/>
      <c r="W610" s="36"/>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8"/>
      <c r="BW610" s="28"/>
      <c r="BX610" s="28"/>
      <c r="BY610" s="28"/>
      <c r="BZ610" s="28"/>
      <c r="CA610" s="28"/>
      <c r="CB610" s="28"/>
      <c r="CC610" s="28"/>
      <c r="CD610" s="28"/>
      <c r="CE610" s="28"/>
      <c r="CF610" s="28"/>
      <c r="CG610" s="28"/>
    </row>
    <row r="611" spans="1:85" ht="12.75" x14ac:dyDescent="0.2">
      <c r="A611" s="28"/>
      <c r="B611" s="28"/>
      <c r="C611" s="28"/>
      <c r="D611" s="28"/>
      <c r="E611" s="28"/>
      <c r="F611" s="28"/>
      <c r="G611" s="28"/>
      <c r="H611" s="28"/>
      <c r="I611" s="28"/>
      <c r="J611" s="28"/>
      <c r="K611" s="36"/>
      <c r="L611" s="28"/>
      <c r="M611" s="28"/>
      <c r="N611" s="28"/>
      <c r="O611" s="28"/>
      <c r="P611" s="28"/>
      <c r="Q611" s="36"/>
      <c r="R611" s="36"/>
      <c r="S611" s="36"/>
      <c r="T611" s="36"/>
      <c r="U611" s="36"/>
      <c r="V611" s="36"/>
      <c r="W611" s="36"/>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c r="BE611" s="28"/>
      <c r="BF611" s="28"/>
      <c r="BG611" s="28"/>
      <c r="BH611" s="28"/>
      <c r="BI611" s="28"/>
      <c r="BJ611" s="28"/>
      <c r="BK611" s="28"/>
      <c r="BL611" s="28"/>
      <c r="BM611" s="28"/>
      <c r="BN611" s="28"/>
      <c r="BO611" s="28"/>
      <c r="BP611" s="28"/>
      <c r="BQ611" s="28"/>
      <c r="BR611" s="28"/>
      <c r="BS611" s="28"/>
      <c r="BT611" s="28"/>
      <c r="BU611" s="28"/>
      <c r="BV611" s="28"/>
      <c r="BW611" s="28"/>
      <c r="BX611" s="28"/>
      <c r="BY611" s="28"/>
      <c r="BZ611" s="28"/>
      <c r="CA611" s="28"/>
      <c r="CB611" s="28"/>
      <c r="CC611" s="28"/>
      <c r="CD611" s="28"/>
      <c r="CE611" s="28"/>
      <c r="CF611" s="28"/>
      <c r="CG611" s="28"/>
    </row>
    <row r="612" spans="1:85" ht="12.75" x14ac:dyDescent="0.2">
      <c r="A612" s="28"/>
      <c r="B612" s="28"/>
      <c r="C612" s="28"/>
      <c r="D612" s="28"/>
      <c r="E612" s="28"/>
      <c r="F612" s="28"/>
      <c r="G612" s="28"/>
      <c r="H612" s="28"/>
      <c r="I612" s="28"/>
      <c r="J612" s="28"/>
      <c r="K612" s="36"/>
      <c r="L612" s="28"/>
      <c r="M612" s="28"/>
      <c r="N612" s="28"/>
      <c r="O612" s="28"/>
      <c r="P612" s="28"/>
      <c r="Q612" s="36"/>
      <c r="R612" s="36"/>
      <c r="S612" s="36"/>
      <c r="T612" s="36"/>
      <c r="U612" s="36"/>
      <c r="V612" s="36"/>
      <c r="W612" s="36"/>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8"/>
      <c r="BW612" s="28"/>
      <c r="BX612" s="28"/>
      <c r="BY612" s="28"/>
      <c r="BZ612" s="28"/>
      <c r="CA612" s="28"/>
      <c r="CB612" s="28"/>
      <c r="CC612" s="28"/>
      <c r="CD612" s="28"/>
      <c r="CE612" s="28"/>
      <c r="CF612" s="28"/>
      <c r="CG612" s="28"/>
    </row>
    <row r="613" spans="1:85" ht="12.75" x14ac:dyDescent="0.2">
      <c r="A613" s="28"/>
      <c r="B613" s="28"/>
      <c r="C613" s="28"/>
      <c r="D613" s="28"/>
      <c r="E613" s="28"/>
      <c r="F613" s="28"/>
      <c r="G613" s="28"/>
      <c r="H613" s="28"/>
      <c r="I613" s="28"/>
      <c r="J613" s="28"/>
      <c r="K613" s="36"/>
      <c r="L613" s="28"/>
      <c r="M613" s="28"/>
      <c r="N613" s="28"/>
      <c r="O613" s="28"/>
      <c r="P613" s="28"/>
      <c r="Q613" s="36"/>
      <c r="R613" s="36"/>
      <c r="S613" s="36"/>
      <c r="T613" s="36"/>
      <c r="U613" s="36"/>
      <c r="V613" s="36"/>
      <c r="W613" s="36"/>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c r="BE613" s="28"/>
      <c r="BF613" s="28"/>
      <c r="BG613" s="28"/>
      <c r="BH613" s="28"/>
      <c r="BI613" s="28"/>
      <c r="BJ613" s="28"/>
      <c r="BK613" s="28"/>
      <c r="BL613" s="28"/>
      <c r="BM613" s="28"/>
      <c r="BN613" s="28"/>
      <c r="BO613" s="28"/>
      <c r="BP613" s="28"/>
      <c r="BQ613" s="28"/>
      <c r="BR613" s="28"/>
      <c r="BS613" s="28"/>
      <c r="BT613" s="28"/>
      <c r="BU613" s="28"/>
      <c r="BV613" s="28"/>
      <c r="BW613" s="28"/>
      <c r="BX613" s="28"/>
      <c r="BY613" s="28"/>
      <c r="BZ613" s="28"/>
      <c r="CA613" s="28"/>
      <c r="CB613" s="28"/>
      <c r="CC613" s="28"/>
      <c r="CD613" s="28"/>
      <c r="CE613" s="28"/>
      <c r="CF613" s="28"/>
      <c r="CG613" s="28"/>
    </row>
    <row r="614" spans="1:85" ht="12.75" x14ac:dyDescent="0.2">
      <c r="A614" s="28"/>
      <c r="B614" s="28"/>
      <c r="C614" s="28"/>
      <c r="D614" s="28"/>
      <c r="E614" s="28"/>
      <c r="F614" s="28"/>
      <c r="G614" s="28"/>
      <c r="H614" s="28"/>
      <c r="I614" s="28"/>
      <c r="J614" s="28"/>
      <c r="K614" s="36"/>
      <c r="L614" s="28"/>
      <c r="M614" s="28"/>
      <c r="N614" s="28"/>
      <c r="O614" s="28"/>
      <c r="P614" s="28"/>
      <c r="Q614" s="36"/>
      <c r="R614" s="36"/>
      <c r="S614" s="36"/>
      <c r="T614" s="36"/>
      <c r="U614" s="36"/>
      <c r="V614" s="36"/>
      <c r="W614" s="36"/>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8"/>
      <c r="BW614" s="28"/>
      <c r="BX614" s="28"/>
      <c r="BY614" s="28"/>
      <c r="BZ614" s="28"/>
      <c r="CA614" s="28"/>
      <c r="CB614" s="28"/>
      <c r="CC614" s="28"/>
      <c r="CD614" s="28"/>
      <c r="CE614" s="28"/>
      <c r="CF614" s="28"/>
      <c r="CG614" s="28"/>
    </row>
    <row r="615" spans="1:85" ht="12.75" x14ac:dyDescent="0.2">
      <c r="A615" s="28"/>
      <c r="B615" s="28"/>
      <c r="C615" s="28"/>
      <c r="D615" s="28"/>
      <c r="E615" s="28"/>
      <c r="F615" s="28"/>
      <c r="G615" s="28"/>
      <c r="H615" s="28"/>
      <c r="I615" s="28"/>
      <c r="J615" s="28"/>
      <c r="K615" s="36"/>
      <c r="L615" s="28"/>
      <c r="M615" s="28"/>
      <c r="N615" s="28"/>
      <c r="O615" s="28"/>
      <c r="P615" s="28"/>
      <c r="Q615" s="36"/>
      <c r="R615" s="36"/>
      <c r="S615" s="36"/>
      <c r="T615" s="36"/>
      <c r="U615" s="36"/>
      <c r="V615" s="36"/>
      <c r="W615" s="36"/>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c r="BE615" s="28"/>
      <c r="BF615" s="28"/>
      <c r="BG615" s="28"/>
      <c r="BH615" s="28"/>
      <c r="BI615" s="28"/>
      <c r="BJ615" s="28"/>
      <c r="BK615" s="28"/>
      <c r="BL615" s="28"/>
      <c r="BM615" s="28"/>
      <c r="BN615" s="28"/>
      <c r="BO615" s="28"/>
      <c r="BP615" s="28"/>
      <c r="BQ615" s="28"/>
      <c r="BR615" s="28"/>
      <c r="BS615" s="28"/>
      <c r="BT615" s="28"/>
      <c r="BU615" s="28"/>
      <c r="BV615" s="28"/>
      <c r="BW615" s="28"/>
      <c r="BX615" s="28"/>
      <c r="BY615" s="28"/>
      <c r="BZ615" s="28"/>
      <c r="CA615" s="28"/>
      <c r="CB615" s="28"/>
      <c r="CC615" s="28"/>
      <c r="CD615" s="28"/>
      <c r="CE615" s="28"/>
      <c r="CF615" s="28"/>
      <c r="CG615" s="28"/>
    </row>
    <row r="616" spans="1:85" ht="12.75" x14ac:dyDescent="0.2">
      <c r="A616" s="28"/>
      <c r="B616" s="28"/>
      <c r="C616" s="28"/>
      <c r="D616" s="28"/>
      <c r="E616" s="28"/>
      <c r="F616" s="28"/>
      <c r="G616" s="28"/>
      <c r="H616" s="28"/>
      <c r="I616" s="28"/>
      <c r="J616" s="28"/>
      <c r="K616" s="36"/>
      <c r="L616" s="28"/>
      <c r="M616" s="28"/>
      <c r="N616" s="28"/>
      <c r="O616" s="28"/>
      <c r="P616" s="28"/>
      <c r="Q616" s="36"/>
      <c r="R616" s="36"/>
      <c r="S616" s="36"/>
      <c r="T616" s="36"/>
      <c r="U616" s="36"/>
      <c r="V616" s="36"/>
      <c r="W616" s="36"/>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8"/>
      <c r="BW616" s="28"/>
      <c r="BX616" s="28"/>
      <c r="BY616" s="28"/>
      <c r="BZ616" s="28"/>
      <c r="CA616" s="28"/>
      <c r="CB616" s="28"/>
      <c r="CC616" s="28"/>
      <c r="CD616" s="28"/>
      <c r="CE616" s="28"/>
      <c r="CF616" s="28"/>
      <c r="CG616" s="28"/>
    </row>
    <row r="617" spans="1:85" ht="12.75" x14ac:dyDescent="0.2">
      <c r="A617" s="28"/>
      <c r="B617" s="28"/>
      <c r="C617" s="28"/>
      <c r="D617" s="28"/>
      <c r="E617" s="28"/>
      <c r="F617" s="28"/>
      <c r="G617" s="28"/>
      <c r="H617" s="28"/>
      <c r="I617" s="28"/>
      <c r="J617" s="28"/>
      <c r="K617" s="36"/>
      <c r="L617" s="28"/>
      <c r="M617" s="28"/>
      <c r="N617" s="28"/>
      <c r="O617" s="28"/>
      <c r="P617" s="28"/>
      <c r="Q617" s="36"/>
      <c r="R617" s="36"/>
      <c r="S617" s="36"/>
      <c r="T617" s="36"/>
      <c r="U617" s="36"/>
      <c r="V617" s="36"/>
      <c r="W617" s="36"/>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c r="BE617" s="28"/>
      <c r="BF617" s="28"/>
      <c r="BG617" s="28"/>
      <c r="BH617" s="28"/>
      <c r="BI617" s="28"/>
      <c r="BJ617" s="28"/>
      <c r="BK617" s="28"/>
      <c r="BL617" s="28"/>
      <c r="BM617" s="28"/>
      <c r="BN617" s="28"/>
      <c r="BO617" s="28"/>
      <c r="BP617" s="28"/>
      <c r="BQ617" s="28"/>
      <c r="BR617" s="28"/>
      <c r="BS617" s="28"/>
      <c r="BT617" s="28"/>
      <c r="BU617" s="28"/>
      <c r="BV617" s="28"/>
      <c r="BW617" s="28"/>
      <c r="BX617" s="28"/>
      <c r="BY617" s="28"/>
      <c r="BZ617" s="28"/>
      <c r="CA617" s="28"/>
      <c r="CB617" s="28"/>
      <c r="CC617" s="28"/>
      <c r="CD617" s="28"/>
      <c r="CE617" s="28"/>
      <c r="CF617" s="28"/>
      <c r="CG617" s="28"/>
    </row>
    <row r="618" spans="1:85" ht="12.75" x14ac:dyDescent="0.2">
      <c r="A618" s="28"/>
      <c r="B618" s="28"/>
      <c r="C618" s="28"/>
      <c r="D618" s="28"/>
      <c r="E618" s="28"/>
      <c r="F618" s="28"/>
      <c r="G618" s="28"/>
      <c r="H618" s="28"/>
      <c r="I618" s="28"/>
      <c r="J618" s="28"/>
      <c r="K618" s="36"/>
      <c r="L618" s="28"/>
      <c r="M618" s="28"/>
      <c r="N618" s="28"/>
      <c r="O618" s="28"/>
      <c r="P618" s="28"/>
      <c r="Q618" s="36"/>
      <c r="R618" s="36"/>
      <c r="S618" s="36"/>
      <c r="T618" s="36"/>
      <c r="U618" s="36"/>
      <c r="V618" s="36"/>
      <c r="W618" s="36"/>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8"/>
      <c r="BW618" s="28"/>
      <c r="BX618" s="28"/>
      <c r="BY618" s="28"/>
      <c r="BZ618" s="28"/>
      <c r="CA618" s="28"/>
      <c r="CB618" s="28"/>
      <c r="CC618" s="28"/>
      <c r="CD618" s="28"/>
      <c r="CE618" s="28"/>
      <c r="CF618" s="28"/>
      <c r="CG618" s="28"/>
    </row>
    <row r="619" spans="1:85" ht="12.75" x14ac:dyDescent="0.2">
      <c r="A619" s="28"/>
      <c r="B619" s="28"/>
      <c r="C619" s="28"/>
      <c r="D619" s="28"/>
      <c r="E619" s="28"/>
      <c r="F619" s="28"/>
      <c r="G619" s="28"/>
      <c r="H619" s="28"/>
      <c r="I619" s="28"/>
      <c r="J619" s="28"/>
      <c r="K619" s="36"/>
      <c r="L619" s="28"/>
      <c r="M619" s="28"/>
      <c r="N619" s="28"/>
      <c r="O619" s="28"/>
      <c r="P619" s="28"/>
      <c r="Q619" s="36"/>
      <c r="R619" s="36"/>
      <c r="S619" s="36"/>
      <c r="T619" s="36"/>
      <c r="U619" s="36"/>
      <c r="V619" s="36"/>
      <c r="W619" s="36"/>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c r="BE619" s="28"/>
      <c r="BF619" s="28"/>
      <c r="BG619" s="28"/>
      <c r="BH619" s="28"/>
      <c r="BI619" s="28"/>
      <c r="BJ619" s="28"/>
      <c r="BK619" s="28"/>
      <c r="BL619" s="28"/>
      <c r="BM619" s="28"/>
      <c r="BN619" s="28"/>
      <c r="BO619" s="28"/>
      <c r="BP619" s="28"/>
      <c r="BQ619" s="28"/>
      <c r="BR619" s="28"/>
      <c r="BS619" s="28"/>
      <c r="BT619" s="28"/>
      <c r="BU619" s="28"/>
      <c r="BV619" s="28"/>
      <c r="BW619" s="28"/>
      <c r="BX619" s="28"/>
      <c r="BY619" s="28"/>
      <c r="BZ619" s="28"/>
      <c r="CA619" s="28"/>
      <c r="CB619" s="28"/>
      <c r="CC619" s="28"/>
      <c r="CD619" s="28"/>
      <c r="CE619" s="28"/>
      <c r="CF619" s="28"/>
      <c r="CG619" s="28"/>
    </row>
    <row r="620" spans="1:85" ht="12.75" x14ac:dyDescent="0.2">
      <c r="A620" s="28"/>
      <c r="B620" s="28"/>
      <c r="C620" s="28"/>
      <c r="D620" s="28"/>
      <c r="E620" s="28"/>
      <c r="F620" s="28"/>
      <c r="G620" s="28"/>
      <c r="H620" s="28"/>
      <c r="I620" s="28"/>
      <c r="J620" s="28"/>
      <c r="K620" s="36"/>
      <c r="L620" s="28"/>
      <c r="M620" s="28"/>
      <c r="N620" s="28"/>
      <c r="O620" s="28"/>
      <c r="P620" s="28"/>
      <c r="Q620" s="36"/>
      <c r="R620" s="36"/>
      <c r="S620" s="36"/>
      <c r="T620" s="36"/>
      <c r="U620" s="36"/>
      <c r="V620" s="36"/>
      <c r="W620" s="36"/>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8"/>
      <c r="BW620" s="28"/>
      <c r="BX620" s="28"/>
      <c r="BY620" s="28"/>
      <c r="BZ620" s="28"/>
      <c r="CA620" s="28"/>
      <c r="CB620" s="28"/>
      <c r="CC620" s="28"/>
      <c r="CD620" s="28"/>
      <c r="CE620" s="28"/>
      <c r="CF620" s="28"/>
      <c r="CG620" s="28"/>
    </row>
    <row r="621" spans="1:85" ht="12.75" x14ac:dyDescent="0.2">
      <c r="A621" s="28"/>
      <c r="B621" s="28"/>
      <c r="C621" s="28"/>
      <c r="D621" s="28"/>
      <c r="E621" s="28"/>
      <c r="F621" s="28"/>
      <c r="G621" s="28"/>
      <c r="H621" s="28"/>
      <c r="I621" s="28"/>
      <c r="J621" s="28"/>
      <c r="K621" s="36"/>
      <c r="L621" s="28"/>
      <c r="M621" s="28"/>
      <c r="N621" s="28"/>
      <c r="O621" s="28"/>
      <c r="P621" s="28"/>
      <c r="Q621" s="36"/>
      <c r="R621" s="36"/>
      <c r="S621" s="36"/>
      <c r="T621" s="36"/>
      <c r="U621" s="36"/>
      <c r="V621" s="36"/>
      <c r="W621" s="36"/>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c r="BE621" s="28"/>
      <c r="BF621" s="28"/>
      <c r="BG621" s="28"/>
      <c r="BH621" s="28"/>
      <c r="BI621" s="28"/>
      <c r="BJ621" s="28"/>
      <c r="BK621" s="28"/>
      <c r="BL621" s="28"/>
      <c r="BM621" s="28"/>
      <c r="BN621" s="28"/>
      <c r="BO621" s="28"/>
      <c r="BP621" s="28"/>
      <c r="BQ621" s="28"/>
      <c r="BR621" s="28"/>
      <c r="BS621" s="28"/>
      <c r="BT621" s="28"/>
      <c r="BU621" s="28"/>
      <c r="BV621" s="28"/>
      <c r="BW621" s="28"/>
      <c r="BX621" s="28"/>
      <c r="BY621" s="28"/>
      <c r="BZ621" s="28"/>
      <c r="CA621" s="28"/>
      <c r="CB621" s="28"/>
      <c r="CC621" s="28"/>
      <c r="CD621" s="28"/>
      <c r="CE621" s="28"/>
      <c r="CF621" s="28"/>
      <c r="CG621" s="28"/>
    </row>
    <row r="622" spans="1:85" ht="12.75" x14ac:dyDescent="0.2">
      <c r="A622" s="28"/>
      <c r="B622" s="28"/>
      <c r="C622" s="28"/>
      <c r="D622" s="28"/>
      <c r="E622" s="28"/>
      <c r="F622" s="28"/>
      <c r="G622" s="28"/>
      <c r="H622" s="28"/>
      <c r="I622" s="28"/>
      <c r="J622" s="28"/>
      <c r="K622" s="36"/>
      <c r="L622" s="28"/>
      <c r="M622" s="28"/>
      <c r="N622" s="28"/>
      <c r="O622" s="28"/>
      <c r="P622" s="28"/>
      <c r="Q622" s="36"/>
      <c r="R622" s="36"/>
      <c r="S622" s="36"/>
      <c r="T622" s="36"/>
      <c r="U622" s="36"/>
      <c r="V622" s="36"/>
      <c r="W622" s="36"/>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8"/>
      <c r="BW622" s="28"/>
      <c r="BX622" s="28"/>
      <c r="BY622" s="28"/>
      <c r="BZ622" s="28"/>
      <c r="CA622" s="28"/>
      <c r="CB622" s="28"/>
      <c r="CC622" s="28"/>
      <c r="CD622" s="28"/>
      <c r="CE622" s="28"/>
      <c r="CF622" s="28"/>
      <c r="CG622" s="28"/>
    </row>
    <row r="623" spans="1:85" ht="12.75" x14ac:dyDescent="0.2">
      <c r="A623" s="28"/>
      <c r="B623" s="28"/>
      <c r="C623" s="28"/>
      <c r="D623" s="28"/>
      <c r="E623" s="28"/>
      <c r="F623" s="28"/>
      <c r="G623" s="28"/>
      <c r="H623" s="28"/>
      <c r="I623" s="28"/>
      <c r="J623" s="28"/>
      <c r="K623" s="36"/>
      <c r="L623" s="28"/>
      <c r="M623" s="28"/>
      <c r="N623" s="28"/>
      <c r="O623" s="28"/>
      <c r="P623" s="28"/>
      <c r="Q623" s="36"/>
      <c r="R623" s="36"/>
      <c r="S623" s="36"/>
      <c r="T623" s="36"/>
      <c r="U623" s="36"/>
      <c r="V623" s="36"/>
      <c r="W623" s="36"/>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c r="BE623" s="28"/>
      <c r="BF623" s="28"/>
      <c r="BG623" s="28"/>
      <c r="BH623" s="28"/>
      <c r="BI623" s="28"/>
      <c r="BJ623" s="28"/>
      <c r="BK623" s="28"/>
      <c r="BL623" s="28"/>
      <c r="BM623" s="28"/>
      <c r="BN623" s="28"/>
      <c r="BO623" s="28"/>
      <c r="BP623" s="28"/>
      <c r="BQ623" s="28"/>
      <c r="BR623" s="28"/>
      <c r="BS623" s="28"/>
      <c r="BT623" s="28"/>
      <c r="BU623" s="28"/>
      <c r="BV623" s="28"/>
      <c r="BW623" s="28"/>
      <c r="BX623" s="28"/>
      <c r="BY623" s="28"/>
      <c r="BZ623" s="28"/>
      <c r="CA623" s="28"/>
      <c r="CB623" s="28"/>
      <c r="CC623" s="28"/>
      <c r="CD623" s="28"/>
      <c r="CE623" s="28"/>
      <c r="CF623" s="28"/>
      <c r="CG623" s="28"/>
    </row>
    <row r="624" spans="1:85" ht="12.75" x14ac:dyDescent="0.2">
      <c r="A624" s="28"/>
      <c r="B624" s="28"/>
      <c r="C624" s="28"/>
      <c r="D624" s="28"/>
      <c r="E624" s="28"/>
      <c r="F624" s="28"/>
      <c r="G624" s="28"/>
      <c r="H624" s="28"/>
      <c r="I624" s="28"/>
      <c r="J624" s="28"/>
      <c r="K624" s="36"/>
      <c r="L624" s="28"/>
      <c r="M624" s="28"/>
      <c r="N624" s="28"/>
      <c r="O624" s="28"/>
      <c r="P624" s="28"/>
      <c r="Q624" s="36"/>
      <c r="R624" s="36"/>
      <c r="S624" s="36"/>
      <c r="T624" s="36"/>
      <c r="U624" s="36"/>
      <c r="V624" s="36"/>
      <c r="W624" s="36"/>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8"/>
      <c r="BW624" s="28"/>
      <c r="BX624" s="28"/>
      <c r="BY624" s="28"/>
      <c r="BZ624" s="28"/>
      <c r="CA624" s="28"/>
      <c r="CB624" s="28"/>
      <c r="CC624" s="28"/>
      <c r="CD624" s="28"/>
      <c r="CE624" s="28"/>
      <c r="CF624" s="28"/>
      <c r="CG624" s="28"/>
    </row>
    <row r="625" spans="1:85" ht="12.75" x14ac:dyDescent="0.2">
      <c r="A625" s="28"/>
      <c r="B625" s="28"/>
      <c r="C625" s="28"/>
      <c r="D625" s="28"/>
      <c r="E625" s="28"/>
      <c r="F625" s="28"/>
      <c r="G625" s="28"/>
      <c r="H625" s="28"/>
      <c r="I625" s="28"/>
      <c r="J625" s="28"/>
      <c r="K625" s="36"/>
      <c r="L625" s="28"/>
      <c r="M625" s="28"/>
      <c r="N625" s="28"/>
      <c r="O625" s="28"/>
      <c r="P625" s="28"/>
      <c r="Q625" s="36"/>
      <c r="R625" s="36"/>
      <c r="S625" s="36"/>
      <c r="T625" s="36"/>
      <c r="U625" s="36"/>
      <c r="V625" s="36"/>
      <c r="W625" s="36"/>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c r="BE625" s="28"/>
      <c r="BF625" s="28"/>
      <c r="BG625" s="28"/>
      <c r="BH625" s="28"/>
      <c r="BI625" s="28"/>
      <c r="BJ625" s="28"/>
      <c r="BK625" s="28"/>
      <c r="BL625" s="28"/>
      <c r="BM625" s="28"/>
      <c r="BN625" s="28"/>
      <c r="BO625" s="28"/>
      <c r="BP625" s="28"/>
      <c r="BQ625" s="28"/>
      <c r="BR625" s="28"/>
      <c r="BS625" s="28"/>
      <c r="BT625" s="28"/>
      <c r="BU625" s="28"/>
      <c r="BV625" s="28"/>
      <c r="BW625" s="28"/>
      <c r="BX625" s="28"/>
      <c r="BY625" s="28"/>
      <c r="BZ625" s="28"/>
      <c r="CA625" s="28"/>
      <c r="CB625" s="28"/>
      <c r="CC625" s="28"/>
      <c r="CD625" s="28"/>
      <c r="CE625" s="28"/>
      <c r="CF625" s="28"/>
      <c r="CG625" s="28"/>
    </row>
    <row r="626" spans="1:85" ht="12.75" x14ac:dyDescent="0.2">
      <c r="A626" s="28"/>
      <c r="B626" s="28"/>
      <c r="C626" s="28"/>
      <c r="D626" s="28"/>
      <c r="E626" s="28"/>
      <c r="F626" s="28"/>
      <c r="G626" s="28"/>
      <c r="H626" s="28"/>
      <c r="I626" s="28"/>
      <c r="J626" s="28"/>
      <c r="K626" s="36"/>
      <c r="L626" s="28"/>
      <c r="M626" s="28"/>
      <c r="N626" s="28"/>
      <c r="O626" s="28"/>
      <c r="P626" s="28"/>
      <c r="Q626" s="36"/>
      <c r="R626" s="36"/>
      <c r="S626" s="36"/>
      <c r="T626" s="36"/>
      <c r="U626" s="36"/>
      <c r="V626" s="36"/>
      <c r="W626" s="36"/>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8"/>
      <c r="BW626" s="28"/>
      <c r="BX626" s="28"/>
      <c r="BY626" s="28"/>
      <c r="BZ626" s="28"/>
      <c r="CA626" s="28"/>
      <c r="CB626" s="28"/>
      <c r="CC626" s="28"/>
      <c r="CD626" s="28"/>
      <c r="CE626" s="28"/>
      <c r="CF626" s="28"/>
      <c r="CG626" s="28"/>
    </row>
    <row r="627" spans="1:85" ht="12.75" x14ac:dyDescent="0.2">
      <c r="A627" s="28"/>
      <c r="B627" s="28"/>
      <c r="C627" s="28"/>
      <c r="D627" s="28"/>
      <c r="E627" s="28"/>
      <c r="F627" s="28"/>
      <c r="G627" s="28"/>
      <c r="H627" s="28"/>
      <c r="I627" s="28"/>
      <c r="J627" s="28"/>
      <c r="K627" s="36"/>
      <c r="L627" s="28"/>
      <c r="M627" s="28"/>
      <c r="N627" s="28"/>
      <c r="O627" s="28"/>
      <c r="P627" s="28"/>
      <c r="Q627" s="36"/>
      <c r="R627" s="36"/>
      <c r="S627" s="36"/>
      <c r="T627" s="36"/>
      <c r="U627" s="36"/>
      <c r="V627" s="36"/>
      <c r="W627" s="36"/>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c r="BE627" s="28"/>
      <c r="BF627" s="28"/>
      <c r="BG627" s="28"/>
      <c r="BH627" s="28"/>
      <c r="BI627" s="28"/>
      <c r="BJ627" s="28"/>
      <c r="BK627" s="28"/>
      <c r="BL627" s="28"/>
      <c r="BM627" s="28"/>
      <c r="BN627" s="28"/>
      <c r="BO627" s="28"/>
      <c r="BP627" s="28"/>
      <c r="BQ627" s="28"/>
      <c r="BR627" s="28"/>
      <c r="BS627" s="28"/>
      <c r="BT627" s="28"/>
      <c r="BU627" s="28"/>
      <c r="BV627" s="28"/>
      <c r="BW627" s="28"/>
      <c r="BX627" s="28"/>
      <c r="BY627" s="28"/>
      <c r="BZ627" s="28"/>
      <c r="CA627" s="28"/>
      <c r="CB627" s="28"/>
      <c r="CC627" s="28"/>
      <c r="CD627" s="28"/>
      <c r="CE627" s="28"/>
      <c r="CF627" s="28"/>
      <c r="CG627" s="28"/>
    </row>
    <row r="628" spans="1:85" ht="12.75" x14ac:dyDescent="0.2">
      <c r="A628" s="28"/>
      <c r="B628" s="28"/>
      <c r="C628" s="28"/>
      <c r="D628" s="28"/>
      <c r="E628" s="28"/>
      <c r="F628" s="28"/>
      <c r="G628" s="28"/>
      <c r="H628" s="28"/>
      <c r="I628" s="28"/>
      <c r="J628" s="28"/>
      <c r="K628" s="36"/>
      <c r="L628" s="28"/>
      <c r="M628" s="28"/>
      <c r="N628" s="28"/>
      <c r="O628" s="28"/>
      <c r="P628" s="28"/>
      <c r="Q628" s="36"/>
      <c r="R628" s="36"/>
      <c r="S628" s="36"/>
      <c r="T628" s="36"/>
      <c r="U628" s="36"/>
      <c r="V628" s="36"/>
      <c r="W628" s="36"/>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8"/>
      <c r="BW628" s="28"/>
      <c r="BX628" s="28"/>
      <c r="BY628" s="28"/>
      <c r="BZ628" s="28"/>
      <c r="CA628" s="28"/>
      <c r="CB628" s="28"/>
      <c r="CC628" s="28"/>
      <c r="CD628" s="28"/>
      <c r="CE628" s="28"/>
      <c r="CF628" s="28"/>
      <c r="CG628" s="28"/>
    </row>
    <row r="629" spans="1:85" ht="12.75" x14ac:dyDescent="0.2">
      <c r="A629" s="28"/>
      <c r="B629" s="28"/>
      <c r="C629" s="28"/>
      <c r="D629" s="28"/>
      <c r="E629" s="28"/>
      <c r="F629" s="28"/>
      <c r="G629" s="28"/>
      <c r="H629" s="28"/>
      <c r="I629" s="28"/>
      <c r="J629" s="28"/>
      <c r="K629" s="36"/>
      <c r="L629" s="28"/>
      <c r="M629" s="28"/>
      <c r="N629" s="28"/>
      <c r="O629" s="28"/>
      <c r="P629" s="28"/>
      <c r="Q629" s="36"/>
      <c r="R629" s="36"/>
      <c r="S629" s="36"/>
      <c r="T629" s="36"/>
      <c r="U629" s="36"/>
      <c r="V629" s="36"/>
      <c r="W629" s="36"/>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c r="BE629" s="28"/>
      <c r="BF629" s="28"/>
      <c r="BG629" s="28"/>
      <c r="BH629" s="28"/>
      <c r="BI629" s="28"/>
      <c r="BJ629" s="28"/>
      <c r="BK629" s="28"/>
      <c r="BL629" s="28"/>
      <c r="BM629" s="28"/>
      <c r="BN629" s="28"/>
      <c r="BO629" s="28"/>
      <c r="BP629" s="28"/>
      <c r="BQ629" s="28"/>
      <c r="BR629" s="28"/>
      <c r="BS629" s="28"/>
      <c r="BT629" s="28"/>
      <c r="BU629" s="28"/>
      <c r="BV629" s="28"/>
      <c r="BW629" s="28"/>
      <c r="BX629" s="28"/>
      <c r="BY629" s="28"/>
      <c r="BZ629" s="28"/>
      <c r="CA629" s="28"/>
      <c r="CB629" s="28"/>
      <c r="CC629" s="28"/>
      <c r="CD629" s="28"/>
      <c r="CE629" s="28"/>
      <c r="CF629" s="28"/>
      <c r="CG629" s="28"/>
    </row>
    <row r="630" spans="1:85" ht="12.75" x14ac:dyDescent="0.2">
      <c r="A630" s="28"/>
      <c r="B630" s="28"/>
      <c r="C630" s="28"/>
      <c r="D630" s="28"/>
      <c r="E630" s="28"/>
      <c r="F630" s="28"/>
      <c r="G630" s="28"/>
      <c r="H630" s="28"/>
      <c r="I630" s="28"/>
      <c r="J630" s="28"/>
      <c r="K630" s="36"/>
      <c r="L630" s="28"/>
      <c r="M630" s="28"/>
      <c r="N630" s="28"/>
      <c r="O630" s="28"/>
      <c r="P630" s="28"/>
      <c r="Q630" s="36"/>
      <c r="R630" s="36"/>
      <c r="S630" s="36"/>
      <c r="T630" s="36"/>
      <c r="U630" s="36"/>
      <c r="V630" s="36"/>
      <c r="W630" s="36"/>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8"/>
      <c r="BW630" s="28"/>
      <c r="BX630" s="28"/>
      <c r="BY630" s="28"/>
      <c r="BZ630" s="28"/>
      <c r="CA630" s="28"/>
      <c r="CB630" s="28"/>
      <c r="CC630" s="28"/>
      <c r="CD630" s="28"/>
      <c r="CE630" s="28"/>
      <c r="CF630" s="28"/>
      <c r="CG630" s="28"/>
    </row>
    <row r="631" spans="1:85" ht="12.75" x14ac:dyDescent="0.2">
      <c r="A631" s="28"/>
      <c r="B631" s="28"/>
      <c r="C631" s="28"/>
      <c r="D631" s="28"/>
      <c r="E631" s="28"/>
      <c r="F631" s="28"/>
      <c r="G631" s="28"/>
      <c r="H631" s="28"/>
      <c r="I631" s="28"/>
      <c r="J631" s="28"/>
      <c r="K631" s="36"/>
      <c r="L631" s="28"/>
      <c r="M631" s="28"/>
      <c r="N631" s="28"/>
      <c r="O631" s="28"/>
      <c r="P631" s="28"/>
      <c r="Q631" s="36"/>
      <c r="R631" s="36"/>
      <c r="S631" s="36"/>
      <c r="T631" s="36"/>
      <c r="U631" s="36"/>
      <c r="V631" s="36"/>
      <c r="W631" s="36"/>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c r="BE631" s="28"/>
      <c r="BF631" s="28"/>
      <c r="BG631" s="28"/>
      <c r="BH631" s="28"/>
      <c r="BI631" s="28"/>
      <c r="BJ631" s="28"/>
      <c r="BK631" s="28"/>
      <c r="BL631" s="28"/>
      <c r="BM631" s="28"/>
      <c r="BN631" s="28"/>
      <c r="BO631" s="28"/>
      <c r="BP631" s="28"/>
      <c r="BQ631" s="28"/>
      <c r="BR631" s="28"/>
      <c r="BS631" s="28"/>
      <c r="BT631" s="28"/>
      <c r="BU631" s="28"/>
      <c r="BV631" s="28"/>
      <c r="BW631" s="28"/>
      <c r="BX631" s="28"/>
      <c r="BY631" s="28"/>
      <c r="BZ631" s="28"/>
      <c r="CA631" s="28"/>
      <c r="CB631" s="28"/>
      <c r="CC631" s="28"/>
      <c r="CD631" s="28"/>
      <c r="CE631" s="28"/>
      <c r="CF631" s="28"/>
      <c r="CG631" s="28"/>
    </row>
    <row r="632" spans="1:85" ht="12.75" x14ac:dyDescent="0.2">
      <c r="A632" s="28"/>
      <c r="B632" s="28"/>
      <c r="C632" s="28"/>
      <c r="D632" s="28"/>
      <c r="E632" s="28"/>
      <c r="F632" s="28"/>
      <c r="G632" s="28"/>
      <c r="H632" s="28"/>
      <c r="I632" s="28"/>
      <c r="J632" s="28"/>
      <c r="K632" s="36"/>
      <c r="L632" s="28"/>
      <c r="M632" s="28"/>
      <c r="N632" s="28"/>
      <c r="O632" s="28"/>
      <c r="P632" s="28"/>
      <c r="Q632" s="36"/>
      <c r="R632" s="36"/>
      <c r="S632" s="36"/>
      <c r="T632" s="36"/>
      <c r="U632" s="36"/>
      <c r="V632" s="36"/>
      <c r="W632" s="36"/>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8"/>
      <c r="BW632" s="28"/>
      <c r="BX632" s="28"/>
      <c r="BY632" s="28"/>
      <c r="BZ632" s="28"/>
      <c r="CA632" s="28"/>
      <c r="CB632" s="28"/>
      <c r="CC632" s="28"/>
      <c r="CD632" s="28"/>
      <c r="CE632" s="28"/>
      <c r="CF632" s="28"/>
      <c r="CG632" s="28"/>
    </row>
    <row r="633" spans="1:85" ht="12.75" x14ac:dyDescent="0.2">
      <c r="A633" s="28"/>
      <c r="B633" s="28"/>
      <c r="C633" s="28"/>
      <c r="D633" s="28"/>
      <c r="E633" s="28"/>
      <c r="F633" s="28"/>
      <c r="G633" s="28"/>
      <c r="H633" s="28"/>
      <c r="I633" s="28"/>
      <c r="J633" s="28"/>
      <c r="K633" s="36"/>
      <c r="L633" s="28"/>
      <c r="M633" s="28"/>
      <c r="N633" s="28"/>
      <c r="O633" s="28"/>
      <c r="P633" s="28"/>
      <c r="Q633" s="36"/>
      <c r="R633" s="36"/>
      <c r="S633" s="36"/>
      <c r="T633" s="36"/>
      <c r="U633" s="36"/>
      <c r="V633" s="36"/>
      <c r="W633" s="36"/>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c r="BE633" s="28"/>
      <c r="BF633" s="28"/>
      <c r="BG633" s="28"/>
      <c r="BH633" s="28"/>
      <c r="BI633" s="28"/>
      <c r="BJ633" s="28"/>
      <c r="BK633" s="28"/>
      <c r="BL633" s="28"/>
      <c r="BM633" s="28"/>
      <c r="BN633" s="28"/>
      <c r="BO633" s="28"/>
      <c r="BP633" s="28"/>
      <c r="BQ633" s="28"/>
      <c r="BR633" s="28"/>
      <c r="BS633" s="28"/>
      <c r="BT633" s="28"/>
      <c r="BU633" s="28"/>
      <c r="BV633" s="28"/>
      <c r="BW633" s="28"/>
      <c r="BX633" s="28"/>
      <c r="BY633" s="28"/>
      <c r="BZ633" s="28"/>
      <c r="CA633" s="28"/>
      <c r="CB633" s="28"/>
      <c r="CC633" s="28"/>
      <c r="CD633" s="28"/>
      <c r="CE633" s="28"/>
      <c r="CF633" s="28"/>
      <c r="CG633" s="28"/>
    </row>
    <row r="634" spans="1:85" ht="12.75" x14ac:dyDescent="0.2">
      <c r="A634" s="28"/>
      <c r="B634" s="28"/>
      <c r="C634" s="28"/>
      <c r="D634" s="28"/>
      <c r="E634" s="28"/>
      <c r="F634" s="28"/>
      <c r="G634" s="28"/>
      <c r="H634" s="28"/>
      <c r="I634" s="28"/>
      <c r="J634" s="28"/>
      <c r="K634" s="36"/>
      <c r="L634" s="28"/>
      <c r="M634" s="28"/>
      <c r="N634" s="28"/>
      <c r="O634" s="28"/>
      <c r="P634" s="28"/>
      <c r="Q634" s="36"/>
      <c r="R634" s="36"/>
      <c r="S634" s="36"/>
      <c r="T634" s="36"/>
      <c r="U634" s="36"/>
      <c r="V634" s="36"/>
      <c r="W634" s="36"/>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8"/>
      <c r="BW634" s="28"/>
      <c r="BX634" s="28"/>
      <c r="BY634" s="28"/>
      <c r="BZ634" s="28"/>
      <c r="CA634" s="28"/>
      <c r="CB634" s="28"/>
      <c r="CC634" s="28"/>
      <c r="CD634" s="28"/>
      <c r="CE634" s="28"/>
      <c r="CF634" s="28"/>
      <c r="CG634" s="28"/>
    </row>
    <row r="635" spans="1:85" ht="12.75" x14ac:dyDescent="0.2">
      <c r="A635" s="28"/>
      <c r="B635" s="28"/>
      <c r="C635" s="28"/>
      <c r="D635" s="28"/>
      <c r="E635" s="28"/>
      <c r="F635" s="28"/>
      <c r="G635" s="28"/>
      <c r="H635" s="28"/>
      <c r="I635" s="28"/>
      <c r="J635" s="28"/>
      <c r="K635" s="36"/>
      <c r="L635" s="28"/>
      <c r="M635" s="28"/>
      <c r="N635" s="28"/>
      <c r="O635" s="28"/>
      <c r="P635" s="28"/>
      <c r="Q635" s="36"/>
      <c r="R635" s="36"/>
      <c r="S635" s="36"/>
      <c r="T635" s="36"/>
      <c r="U635" s="36"/>
      <c r="V635" s="36"/>
      <c r="W635" s="36"/>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c r="BE635" s="28"/>
      <c r="BF635" s="28"/>
      <c r="BG635" s="28"/>
      <c r="BH635" s="28"/>
      <c r="BI635" s="28"/>
      <c r="BJ635" s="28"/>
      <c r="BK635" s="28"/>
      <c r="BL635" s="28"/>
      <c r="BM635" s="28"/>
      <c r="BN635" s="28"/>
      <c r="BO635" s="28"/>
      <c r="BP635" s="28"/>
      <c r="BQ635" s="28"/>
      <c r="BR635" s="28"/>
      <c r="BS635" s="28"/>
      <c r="BT635" s="28"/>
      <c r="BU635" s="28"/>
      <c r="BV635" s="28"/>
      <c r="BW635" s="28"/>
      <c r="BX635" s="28"/>
      <c r="BY635" s="28"/>
      <c r="BZ635" s="28"/>
      <c r="CA635" s="28"/>
      <c r="CB635" s="28"/>
      <c r="CC635" s="28"/>
      <c r="CD635" s="28"/>
      <c r="CE635" s="28"/>
      <c r="CF635" s="28"/>
      <c r="CG635" s="28"/>
    </row>
    <row r="636" spans="1:85" ht="12.75" x14ac:dyDescent="0.2">
      <c r="A636" s="28"/>
      <c r="B636" s="28"/>
      <c r="C636" s="28"/>
      <c r="D636" s="28"/>
      <c r="E636" s="28"/>
      <c r="F636" s="28"/>
      <c r="G636" s="28"/>
      <c r="H636" s="28"/>
      <c r="I636" s="28"/>
      <c r="J636" s="28"/>
      <c r="K636" s="36"/>
      <c r="L636" s="28"/>
      <c r="M636" s="28"/>
      <c r="N636" s="28"/>
      <c r="O636" s="28"/>
      <c r="P636" s="28"/>
      <c r="Q636" s="36"/>
      <c r="R636" s="36"/>
      <c r="S636" s="36"/>
      <c r="T636" s="36"/>
      <c r="U636" s="36"/>
      <c r="V636" s="36"/>
      <c r="W636" s="36"/>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8"/>
      <c r="BW636" s="28"/>
      <c r="BX636" s="28"/>
      <c r="BY636" s="28"/>
      <c r="BZ636" s="28"/>
      <c r="CA636" s="28"/>
      <c r="CB636" s="28"/>
      <c r="CC636" s="28"/>
      <c r="CD636" s="28"/>
      <c r="CE636" s="28"/>
      <c r="CF636" s="28"/>
      <c r="CG636" s="28"/>
    </row>
    <row r="637" spans="1:85" ht="12.75" x14ac:dyDescent="0.2">
      <c r="A637" s="28"/>
      <c r="B637" s="28"/>
      <c r="C637" s="28"/>
      <c r="D637" s="28"/>
      <c r="E637" s="28"/>
      <c r="F637" s="28"/>
      <c r="G637" s="28"/>
      <c r="H637" s="28"/>
      <c r="I637" s="28"/>
      <c r="J637" s="28"/>
      <c r="K637" s="36"/>
      <c r="L637" s="28"/>
      <c r="M637" s="28"/>
      <c r="N637" s="28"/>
      <c r="O637" s="28"/>
      <c r="P637" s="28"/>
      <c r="Q637" s="36"/>
      <c r="R637" s="36"/>
      <c r="S637" s="36"/>
      <c r="T637" s="36"/>
      <c r="U637" s="36"/>
      <c r="V637" s="36"/>
      <c r="W637" s="36"/>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c r="BE637" s="28"/>
      <c r="BF637" s="28"/>
      <c r="BG637" s="28"/>
      <c r="BH637" s="28"/>
      <c r="BI637" s="28"/>
      <c r="BJ637" s="28"/>
      <c r="BK637" s="28"/>
      <c r="BL637" s="28"/>
      <c r="BM637" s="28"/>
      <c r="BN637" s="28"/>
      <c r="BO637" s="28"/>
      <c r="BP637" s="28"/>
      <c r="BQ637" s="28"/>
      <c r="BR637" s="28"/>
      <c r="BS637" s="28"/>
      <c r="BT637" s="28"/>
      <c r="BU637" s="28"/>
      <c r="BV637" s="28"/>
      <c r="BW637" s="28"/>
      <c r="BX637" s="28"/>
      <c r="BY637" s="28"/>
      <c r="BZ637" s="28"/>
      <c r="CA637" s="28"/>
      <c r="CB637" s="28"/>
      <c r="CC637" s="28"/>
      <c r="CD637" s="28"/>
      <c r="CE637" s="28"/>
      <c r="CF637" s="28"/>
      <c r="CG637" s="28"/>
    </row>
    <row r="638" spans="1:85" ht="12.75" x14ac:dyDescent="0.2">
      <c r="A638" s="28"/>
      <c r="B638" s="28"/>
      <c r="C638" s="28"/>
      <c r="D638" s="28"/>
      <c r="E638" s="28"/>
      <c r="F638" s="28"/>
      <c r="G638" s="28"/>
      <c r="H638" s="28"/>
      <c r="I638" s="28"/>
      <c r="J638" s="28"/>
      <c r="K638" s="36"/>
      <c r="L638" s="28"/>
      <c r="M638" s="28"/>
      <c r="N638" s="28"/>
      <c r="O638" s="28"/>
      <c r="P638" s="28"/>
      <c r="Q638" s="36"/>
      <c r="R638" s="36"/>
      <c r="S638" s="36"/>
      <c r="T638" s="36"/>
      <c r="U638" s="36"/>
      <c r="V638" s="36"/>
      <c r="W638" s="36"/>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8"/>
      <c r="BW638" s="28"/>
      <c r="BX638" s="28"/>
      <c r="BY638" s="28"/>
      <c r="BZ638" s="28"/>
      <c r="CA638" s="28"/>
      <c r="CB638" s="28"/>
      <c r="CC638" s="28"/>
      <c r="CD638" s="28"/>
      <c r="CE638" s="28"/>
      <c r="CF638" s="28"/>
      <c r="CG638" s="28"/>
    </row>
    <row r="639" spans="1:85" ht="12.75" x14ac:dyDescent="0.2">
      <c r="A639" s="28"/>
      <c r="B639" s="28"/>
      <c r="C639" s="28"/>
      <c r="D639" s="28"/>
      <c r="E639" s="28"/>
      <c r="F639" s="28"/>
      <c r="G639" s="28"/>
      <c r="H639" s="28"/>
      <c r="I639" s="28"/>
      <c r="J639" s="28"/>
      <c r="K639" s="36"/>
      <c r="L639" s="28"/>
      <c r="M639" s="28"/>
      <c r="N639" s="28"/>
      <c r="O639" s="28"/>
      <c r="P639" s="28"/>
      <c r="Q639" s="36"/>
      <c r="R639" s="36"/>
      <c r="S639" s="36"/>
      <c r="T639" s="36"/>
      <c r="U639" s="36"/>
      <c r="V639" s="36"/>
      <c r="W639" s="36"/>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c r="BE639" s="28"/>
      <c r="BF639" s="28"/>
      <c r="BG639" s="28"/>
      <c r="BH639" s="28"/>
      <c r="BI639" s="28"/>
      <c r="BJ639" s="28"/>
      <c r="BK639" s="28"/>
      <c r="BL639" s="28"/>
      <c r="BM639" s="28"/>
      <c r="BN639" s="28"/>
      <c r="BO639" s="28"/>
      <c r="BP639" s="28"/>
      <c r="BQ639" s="28"/>
      <c r="BR639" s="28"/>
      <c r="BS639" s="28"/>
      <c r="BT639" s="28"/>
      <c r="BU639" s="28"/>
      <c r="BV639" s="28"/>
      <c r="BW639" s="28"/>
      <c r="BX639" s="28"/>
      <c r="BY639" s="28"/>
      <c r="BZ639" s="28"/>
      <c r="CA639" s="28"/>
      <c r="CB639" s="28"/>
      <c r="CC639" s="28"/>
      <c r="CD639" s="28"/>
      <c r="CE639" s="28"/>
      <c r="CF639" s="28"/>
      <c r="CG639" s="28"/>
    </row>
    <row r="640" spans="1:85" ht="12.75" x14ac:dyDescent="0.2">
      <c r="A640" s="28"/>
      <c r="B640" s="28"/>
      <c r="C640" s="28"/>
      <c r="D640" s="28"/>
      <c r="E640" s="28"/>
      <c r="F640" s="28"/>
      <c r="G640" s="28"/>
      <c r="H640" s="28"/>
      <c r="I640" s="28"/>
      <c r="J640" s="28"/>
      <c r="K640" s="36"/>
      <c r="L640" s="28"/>
      <c r="M640" s="28"/>
      <c r="N640" s="28"/>
      <c r="O640" s="28"/>
      <c r="P640" s="28"/>
      <c r="Q640" s="36"/>
      <c r="R640" s="36"/>
      <c r="S640" s="36"/>
      <c r="T640" s="36"/>
      <c r="U640" s="36"/>
      <c r="V640" s="36"/>
      <c r="W640" s="36"/>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8"/>
      <c r="BW640" s="28"/>
      <c r="BX640" s="28"/>
      <c r="BY640" s="28"/>
      <c r="BZ640" s="28"/>
      <c r="CA640" s="28"/>
      <c r="CB640" s="28"/>
      <c r="CC640" s="28"/>
      <c r="CD640" s="28"/>
      <c r="CE640" s="28"/>
      <c r="CF640" s="28"/>
      <c r="CG640" s="28"/>
    </row>
    <row r="641" spans="1:85" ht="12.75" x14ac:dyDescent="0.2">
      <c r="A641" s="28"/>
      <c r="B641" s="28"/>
      <c r="C641" s="28"/>
      <c r="D641" s="28"/>
      <c r="E641" s="28"/>
      <c r="F641" s="28"/>
      <c r="G641" s="28"/>
      <c r="H641" s="28"/>
      <c r="I641" s="28"/>
      <c r="J641" s="28"/>
      <c r="K641" s="36"/>
      <c r="L641" s="28"/>
      <c r="M641" s="28"/>
      <c r="N641" s="28"/>
      <c r="O641" s="28"/>
      <c r="P641" s="28"/>
      <c r="Q641" s="36"/>
      <c r="R641" s="36"/>
      <c r="S641" s="36"/>
      <c r="T641" s="36"/>
      <c r="U641" s="36"/>
      <c r="V641" s="36"/>
      <c r="W641" s="36"/>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c r="BE641" s="28"/>
      <c r="BF641" s="28"/>
      <c r="BG641" s="28"/>
      <c r="BH641" s="28"/>
      <c r="BI641" s="28"/>
      <c r="BJ641" s="28"/>
      <c r="BK641" s="28"/>
      <c r="BL641" s="28"/>
      <c r="BM641" s="28"/>
      <c r="BN641" s="28"/>
      <c r="BO641" s="28"/>
      <c r="BP641" s="28"/>
      <c r="BQ641" s="28"/>
      <c r="BR641" s="28"/>
      <c r="BS641" s="28"/>
      <c r="BT641" s="28"/>
      <c r="BU641" s="28"/>
      <c r="BV641" s="28"/>
      <c r="BW641" s="28"/>
      <c r="BX641" s="28"/>
      <c r="BY641" s="28"/>
      <c r="BZ641" s="28"/>
      <c r="CA641" s="28"/>
      <c r="CB641" s="28"/>
      <c r="CC641" s="28"/>
      <c r="CD641" s="28"/>
      <c r="CE641" s="28"/>
      <c r="CF641" s="28"/>
      <c r="CG641" s="28"/>
    </row>
    <row r="642" spans="1:85" ht="12.75" x14ac:dyDescent="0.2">
      <c r="A642" s="28"/>
      <c r="B642" s="28"/>
      <c r="C642" s="28"/>
      <c r="D642" s="28"/>
      <c r="E642" s="28"/>
      <c r="F642" s="28"/>
      <c r="G642" s="28"/>
      <c r="H642" s="28"/>
      <c r="I642" s="28"/>
      <c r="J642" s="28"/>
      <c r="K642" s="36"/>
      <c r="L642" s="28"/>
      <c r="M642" s="28"/>
      <c r="N642" s="28"/>
      <c r="O642" s="28"/>
      <c r="P642" s="28"/>
      <c r="Q642" s="36"/>
      <c r="R642" s="36"/>
      <c r="S642" s="36"/>
      <c r="T642" s="36"/>
      <c r="U642" s="36"/>
      <c r="V642" s="36"/>
      <c r="W642" s="36"/>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8"/>
      <c r="BW642" s="28"/>
      <c r="BX642" s="28"/>
      <c r="BY642" s="28"/>
      <c r="BZ642" s="28"/>
      <c r="CA642" s="28"/>
      <c r="CB642" s="28"/>
      <c r="CC642" s="28"/>
      <c r="CD642" s="28"/>
      <c r="CE642" s="28"/>
      <c r="CF642" s="28"/>
      <c r="CG642" s="28"/>
    </row>
    <row r="643" spans="1:85" ht="12.75" x14ac:dyDescent="0.2">
      <c r="A643" s="28"/>
      <c r="B643" s="28"/>
      <c r="C643" s="28"/>
      <c r="D643" s="28"/>
      <c r="E643" s="28"/>
      <c r="F643" s="28"/>
      <c r="G643" s="28"/>
      <c r="H643" s="28"/>
      <c r="I643" s="28"/>
      <c r="J643" s="28"/>
      <c r="K643" s="36"/>
      <c r="L643" s="28"/>
      <c r="M643" s="28"/>
      <c r="N643" s="28"/>
      <c r="O643" s="28"/>
      <c r="P643" s="28"/>
      <c r="Q643" s="36"/>
      <c r="R643" s="36"/>
      <c r="S643" s="36"/>
      <c r="T643" s="36"/>
      <c r="U643" s="36"/>
      <c r="V643" s="36"/>
      <c r="W643" s="36"/>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c r="BE643" s="28"/>
      <c r="BF643" s="28"/>
      <c r="BG643" s="28"/>
      <c r="BH643" s="28"/>
      <c r="BI643" s="28"/>
      <c r="BJ643" s="28"/>
      <c r="BK643" s="28"/>
      <c r="BL643" s="28"/>
      <c r="BM643" s="28"/>
      <c r="BN643" s="28"/>
      <c r="BO643" s="28"/>
      <c r="BP643" s="28"/>
      <c r="BQ643" s="28"/>
      <c r="BR643" s="28"/>
      <c r="BS643" s="28"/>
      <c r="BT643" s="28"/>
      <c r="BU643" s="28"/>
      <c r="BV643" s="28"/>
      <c r="BW643" s="28"/>
      <c r="BX643" s="28"/>
      <c r="BY643" s="28"/>
      <c r="BZ643" s="28"/>
      <c r="CA643" s="28"/>
      <c r="CB643" s="28"/>
      <c r="CC643" s="28"/>
      <c r="CD643" s="28"/>
      <c r="CE643" s="28"/>
      <c r="CF643" s="28"/>
      <c r="CG643" s="28"/>
    </row>
    <row r="644" spans="1:85" ht="12.75" x14ac:dyDescent="0.2">
      <c r="A644" s="28"/>
      <c r="B644" s="28"/>
      <c r="C644" s="28"/>
      <c r="D644" s="28"/>
      <c r="E644" s="28"/>
      <c r="F644" s="28"/>
      <c r="G644" s="28"/>
      <c r="H644" s="28"/>
      <c r="I644" s="28"/>
      <c r="J644" s="28"/>
      <c r="K644" s="36"/>
      <c r="L644" s="28"/>
      <c r="M644" s="28"/>
      <c r="N644" s="28"/>
      <c r="O644" s="28"/>
      <c r="P644" s="28"/>
      <c r="Q644" s="36"/>
      <c r="R644" s="36"/>
      <c r="S644" s="36"/>
      <c r="T644" s="36"/>
      <c r="U644" s="36"/>
      <c r="V644" s="36"/>
      <c r="W644" s="36"/>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8"/>
      <c r="BW644" s="28"/>
      <c r="BX644" s="28"/>
      <c r="BY644" s="28"/>
      <c r="BZ644" s="28"/>
      <c r="CA644" s="28"/>
      <c r="CB644" s="28"/>
      <c r="CC644" s="28"/>
      <c r="CD644" s="28"/>
      <c r="CE644" s="28"/>
      <c r="CF644" s="28"/>
      <c r="CG644" s="28"/>
    </row>
    <row r="645" spans="1:85" ht="12.75" x14ac:dyDescent="0.2">
      <c r="A645" s="28"/>
      <c r="B645" s="28"/>
      <c r="C645" s="28"/>
      <c r="D645" s="28"/>
      <c r="E645" s="28"/>
      <c r="F645" s="28"/>
      <c r="G645" s="28"/>
      <c r="H645" s="28"/>
      <c r="I645" s="28"/>
      <c r="J645" s="28"/>
      <c r="K645" s="36"/>
      <c r="L645" s="28"/>
      <c r="M645" s="28"/>
      <c r="N645" s="28"/>
      <c r="O645" s="28"/>
      <c r="P645" s="28"/>
      <c r="Q645" s="36"/>
      <c r="R645" s="36"/>
      <c r="S645" s="36"/>
      <c r="T645" s="36"/>
      <c r="U645" s="36"/>
      <c r="V645" s="36"/>
      <c r="W645" s="36"/>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c r="BE645" s="28"/>
      <c r="BF645" s="28"/>
      <c r="BG645" s="28"/>
      <c r="BH645" s="28"/>
      <c r="BI645" s="28"/>
      <c r="BJ645" s="28"/>
      <c r="BK645" s="28"/>
      <c r="BL645" s="28"/>
      <c r="BM645" s="28"/>
      <c r="BN645" s="28"/>
      <c r="BO645" s="28"/>
      <c r="BP645" s="28"/>
      <c r="BQ645" s="28"/>
      <c r="BR645" s="28"/>
      <c r="BS645" s="28"/>
      <c r="BT645" s="28"/>
      <c r="BU645" s="28"/>
      <c r="BV645" s="28"/>
      <c r="BW645" s="28"/>
      <c r="BX645" s="28"/>
      <c r="BY645" s="28"/>
      <c r="BZ645" s="28"/>
      <c r="CA645" s="28"/>
      <c r="CB645" s="28"/>
      <c r="CC645" s="28"/>
      <c r="CD645" s="28"/>
      <c r="CE645" s="28"/>
      <c r="CF645" s="28"/>
      <c r="CG645" s="28"/>
    </row>
    <row r="646" spans="1:85" ht="12.75" x14ac:dyDescent="0.2">
      <c r="A646" s="28"/>
      <c r="B646" s="28"/>
      <c r="C646" s="28"/>
      <c r="D646" s="28"/>
      <c r="E646" s="28"/>
      <c r="F646" s="28"/>
      <c r="G646" s="28"/>
      <c r="H646" s="28"/>
      <c r="I646" s="28"/>
      <c r="J646" s="28"/>
      <c r="K646" s="36"/>
      <c r="L646" s="28"/>
      <c r="M646" s="28"/>
      <c r="N646" s="28"/>
      <c r="O646" s="28"/>
      <c r="P646" s="28"/>
      <c r="Q646" s="36"/>
      <c r="R646" s="36"/>
      <c r="S646" s="36"/>
      <c r="T646" s="36"/>
      <c r="U646" s="36"/>
      <c r="V646" s="36"/>
      <c r="W646" s="36"/>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8"/>
      <c r="BW646" s="28"/>
      <c r="BX646" s="28"/>
      <c r="BY646" s="28"/>
      <c r="BZ646" s="28"/>
      <c r="CA646" s="28"/>
      <c r="CB646" s="28"/>
      <c r="CC646" s="28"/>
      <c r="CD646" s="28"/>
      <c r="CE646" s="28"/>
      <c r="CF646" s="28"/>
      <c r="CG646" s="28"/>
    </row>
    <row r="647" spans="1:85" ht="12.75" x14ac:dyDescent="0.2">
      <c r="A647" s="28"/>
      <c r="B647" s="28"/>
      <c r="C647" s="28"/>
      <c r="D647" s="28"/>
      <c r="E647" s="28"/>
      <c r="F647" s="28"/>
      <c r="G647" s="28"/>
      <c r="H647" s="28"/>
      <c r="I647" s="28"/>
      <c r="J647" s="28"/>
      <c r="K647" s="36"/>
      <c r="L647" s="28"/>
      <c r="M647" s="28"/>
      <c r="N647" s="28"/>
      <c r="O647" s="28"/>
      <c r="P647" s="28"/>
      <c r="Q647" s="36"/>
      <c r="R647" s="36"/>
      <c r="S647" s="36"/>
      <c r="T647" s="36"/>
      <c r="U647" s="36"/>
      <c r="V647" s="36"/>
      <c r="W647" s="36"/>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c r="BE647" s="28"/>
      <c r="BF647" s="28"/>
      <c r="BG647" s="28"/>
      <c r="BH647" s="28"/>
      <c r="BI647" s="28"/>
      <c r="BJ647" s="28"/>
      <c r="BK647" s="28"/>
      <c r="BL647" s="28"/>
      <c r="BM647" s="28"/>
      <c r="BN647" s="28"/>
      <c r="BO647" s="28"/>
      <c r="BP647" s="28"/>
      <c r="BQ647" s="28"/>
      <c r="BR647" s="28"/>
      <c r="BS647" s="28"/>
      <c r="BT647" s="28"/>
      <c r="BU647" s="28"/>
      <c r="BV647" s="28"/>
      <c r="BW647" s="28"/>
      <c r="BX647" s="28"/>
      <c r="BY647" s="28"/>
      <c r="BZ647" s="28"/>
      <c r="CA647" s="28"/>
      <c r="CB647" s="28"/>
      <c r="CC647" s="28"/>
      <c r="CD647" s="28"/>
      <c r="CE647" s="28"/>
      <c r="CF647" s="28"/>
      <c r="CG647" s="28"/>
    </row>
    <row r="648" spans="1:85" ht="12.75" x14ac:dyDescent="0.2">
      <c r="A648" s="28"/>
      <c r="B648" s="28"/>
      <c r="C648" s="28"/>
      <c r="D648" s="28"/>
      <c r="E648" s="28"/>
      <c r="F648" s="28"/>
      <c r="G648" s="28"/>
      <c r="H648" s="28"/>
      <c r="I648" s="28"/>
      <c r="J648" s="28"/>
      <c r="K648" s="36"/>
      <c r="L648" s="28"/>
      <c r="M648" s="28"/>
      <c r="N648" s="28"/>
      <c r="O648" s="28"/>
      <c r="P648" s="28"/>
      <c r="Q648" s="36"/>
      <c r="R648" s="36"/>
      <c r="S648" s="36"/>
      <c r="T648" s="36"/>
      <c r="U648" s="36"/>
      <c r="V648" s="36"/>
      <c r="W648" s="36"/>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8"/>
      <c r="BW648" s="28"/>
      <c r="BX648" s="28"/>
      <c r="BY648" s="28"/>
      <c r="BZ648" s="28"/>
      <c r="CA648" s="28"/>
      <c r="CB648" s="28"/>
      <c r="CC648" s="28"/>
      <c r="CD648" s="28"/>
      <c r="CE648" s="28"/>
      <c r="CF648" s="28"/>
      <c r="CG648" s="28"/>
    </row>
    <row r="649" spans="1:85" ht="12.75" x14ac:dyDescent="0.2">
      <c r="A649" s="28"/>
      <c r="B649" s="28"/>
      <c r="C649" s="28"/>
      <c r="D649" s="28"/>
      <c r="E649" s="28"/>
      <c r="F649" s="28"/>
      <c r="G649" s="28"/>
      <c r="H649" s="28"/>
      <c r="I649" s="28"/>
      <c r="J649" s="28"/>
      <c r="K649" s="36"/>
      <c r="L649" s="28"/>
      <c r="M649" s="28"/>
      <c r="N649" s="28"/>
      <c r="O649" s="28"/>
      <c r="P649" s="28"/>
      <c r="Q649" s="36"/>
      <c r="R649" s="36"/>
      <c r="S649" s="36"/>
      <c r="T649" s="36"/>
      <c r="U649" s="36"/>
      <c r="V649" s="36"/>
      <c r="W649" s="36"/>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c r="BE649" s="28"/>
      <c r="BF649" s="28"/>
      <c r="BG649" s="28"/>
      <c r="BH649" s="28"/>
      <c r="BI649" s="28"/>
      <c r="BJ649" s="28"/>
      <c r="BK649" s="28"/>
      <c r="BL649" s="28"/>
      <c r="BM649" s="28"/>
      <c r="BN649" s="28"/>
      <c r="BO649" s="28"/>
      <c r="BP649" s="28"/>
      <c r="BQ649" s="28"/>
      <c r="BR649" s="28"/>
      <c r="BS649" s="28"/>
      <c r="BT649" s="28"/>
      <c r="BU649" s="28"/>
      <c r="BV649" s="28"/>
      <c r="BW649" s="28"/>
      <c r="BX649" s="28"/>
      <c r="BY649" s="28"/>
      <c r="BZ649" s="28"/>
      <c r="CA649" s="28"/>
      <c r="CB649" s="28"/>
      <c r="CC649" s="28"/>
      <c r="CD649" s="28"/>
      <c r="CE649" s="28"/>
      <c r="CF649" s="28"/>
      <c r="CG649" s="28"/>
    </row>
    <row r="650" spans="1:85" ht="12.75" x14ac:dyDescent="0.2">
      <c r="A650" s="28"/>
      <c r="B650" s="28"/>
      <c r="C650" s="28"/>
      <c r="D650" s="28"/>
      <c r="E650" s="28"/>
      <c r="F650" s="28"/>
      <c r="G650" s="28"/>
      <c r="H650" s="28"/>
      <c r="I650" s="28"/>
      <c r="J650" s="28"/>
      <c r="K650" s="36"/>
      <c r="L650" s="28"/>
      <c r="M650" s="28"/>
      <c r="N650" s="28"/>
      <c r="O650" s="28"/>
      <c r="P650" s="28"/>
      <c r="Q650" s="36"/>
      <c r="R650" s="36"/>
      <c r="S650" s="36"/>
      <c r="T650" s="36"/>
      <c r="U650" s="36"/>
      <c r="V650" s="36"/>
      <c r="W650" s="36"/>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8"/>
      <c r="BW650" s="28"/>
      <c r="BX650" s="28"/>
      <c r="BY650" s="28"/>
      <c r="BZ650" s="28"/>
      <c r="CA650" s="28"/>
      <c r="CB650" s="28"/>
      <c r="CC650" s="28"/>
      <c r="CD650" s="28"/>
      <c r="CE650" s="28"/>
      <c r="CF650" s="28"/>
      <c r="CG650" s="28"/>
    </row>
    <row r="651" spans="1:85" ht="12.75" x14ac:dyDescent="0.2">
      <c r="A651" s="28"/>
      <c r="B651" s="28"/>
      <c r="C651" s="28"/>
      <c r="D651" s="28"/>
      <c r="E651" s="28"/>
      <c r="F651" s="28"/>
      <c r="G651" s="28"/>
      <c r="H651" s="28"/>
      <c r="I651" s="28"/>
      <c r="J651" s="28"/>
      <c r="K651" s="36"/>
      <c r="L651" s="28"/>
      <c r="M651" s="28"/>
      <c r="N651" s="28"/>
      <c r="O651" s="28"/>
      <c r="P651" s="28"/>
      <c r="Q651" s="36"/>
      <c r="R651" s="36"/>
      <c r="S651" s="36"/>
      <c r="T651" s="36"/>
      <c r="U651" s="36"/>
      <c r="V651" s="36"/>
      <c r="W651" s="36"/>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c r="BE651" s="28"/>
      <c r="BF651" s="28"/>
      <c r="BG651" s="28"/>
      <c r="BH651" s="28"/>
      <c r="BI651" s="28"/>
      <c r="BJ651" s="28"/>
      <c r="BK651" s="28"/>
      <c r="BL651" s="28"/>
      <c r="BM651" s="28"/>
      <c r="BN651" s="28"/>
      <c r="BO651" s="28"/>
      <c r="BP651" s="28"/>
      <c r="BQ651" s="28"/>
      <c r="BR651" s="28"/>
      <c r="BS651" s="28"/>
      <c r="BT651" s="28"/>
      <c r="BU651" s="28"/>
      <c r="BV651" s="28"/>
      <c r="BW651" s="28"/>
      <c r="BX651" s="28"/>
      <c r="BY651" s="28"/>
      <c r="BZ651" s="28"/>
      <c r="CA651" s="28"/>
      <c r="CB651" s="28"/>
      <c r="CC651" s="28"/>
      <c r="CD651" s="28"/>
      <c r="CE651" s="28"/>
      <c r="CF651" s="28"/>
      <c r="CG651" s="28"/>
    </row>
    <row r="652" spans="1:85" ht="12.75" x14ac:dyDescent="0.2">
      <c r="A652" s="28"/>
      <c r="B652" s="28"/>
      <c r="C652" s="28"/>
      <c r="D652" s="28"/>
      <c r="E652" s="28"/>
      <c r="F652" s="28"/>
      <c r="G652" s="28"/>
      <c r="H652" s="28"/>
      <c r="I652" s="28"/>
      <c r="J652" s="28"/>
      <c r="K652" s="36"/>
      <c r="L652" s="28"/>
      <c r="M652" s="28"/>
      <c r="N652" s="28"/>
      <c r="O652" s="28"/>
      <c r="P652" s="28"/>
      <c r="Q652" s="36"/>
      <c r="R652" s="36"/>
      <c r="S652" s="36"/>
      <c r="T652" s="36"/>
      <c r="U652" s="36"/>
      <c r="V652" s="36"/>
      <c r="W652" s="36"/>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8"/>
      <c r="BW652" s="28"/>
      <c r="BX652" s="28"/>
      <c r="BY652" s="28"/>
      <c r="BZ652" s="28"/>
      <c r="CA652" s="28"/>
      <c r="CB652" s="28"/>
      <c r="CC652" s="28"/>
      <c r="CD652" s="28"/>
      <c r="CE652" s="28"/>
      <c r="CF652" s="28"/>
      <c r="CG652" s="28"/>
    </row>
    <row r="653" spans="1:85" ht="12.75" x14ac:dyDescent="0.2">
      <c r="A653" s="28"/>
      <c r="B653" s="28"/>
      <c r="C653" s="28"/>
      <c r="D653" s="28"/>
      <c r="E653" s="28"/>
      <c r="F653" s="28"/>
      <c r="G653" s="28"/>
      <c r="H653" s="28"/>
      <c r="I653" s="28"/>
      <c r="J653" s="28"/>
      <c r="K653" s="36"/>
      <c r="L653" s="28"/>
      <c r="M653" s="28"/>
      <c r="N653" s="28"/>
      <c r="O653" s="28"/>
      <c r="P653" s="28"/>
      <c r="Q653" s="36"/>
      <c r="R653" s="36"/>
      <c r="S653" s="36"/>
      <c r="T653" s="36"/>
      <c r="U653" s="36"/>
      <c r="V653" s="36"/>
      <c r="W653" s="36"/>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c r="BE653" s="28"/>
      <c r="BF653" s="28"/>
      <c r="BG653" s="28"/>
      <c r="BH653" s="28"/>
      <c r="BI653" s="28"/>
      <c r="BJ653" s="28"/>
      <c r="BK653" s="28"/>
      <c r="BL653" s="28"/>
      <c r="BM653" s="28"/>
      <c r="BN653" s="28"/>
      <c r="BO653" s="28"/>
      <c r="BP653" s="28"/>
      <c r="BQ653" s="28"/>
      <c r="BR653" s="28"/>
      <c r="BS653" s="28"/>
      <c r="BT653" s="28"/>
      <c r="BU653" s="28"/>
      <c r="BV653" s="28"/>
      <c r="BW653" s="28"/>
      <c r="BX653" s="28"/>
      <c r="BY653" s="28"/>
      <c r="BZ653" s="28"/>
      <c r="CA653" s="28"/>
      <c r="CB653" s="28"/>
      <c r="CC653" s="28"/>
      <c r="CD653" s="28"/>
      <c r="CE653" s="28"/>
      <c r="CF653" s="28"/>
      <c r="CG653" s="28"/>
    </row>
    <row r="654" spans="1:85" ht="12.75" x14ac:dyDescent="0.2">
      <c r="A654" s="28"/>
      <c r="B654" s="28"/>
      <c r="C654" s="28"/>
      <c r="D654" s="28"/>
      <c r="E654" s="28"/>
      <c r="F654" s="28"/>
      <c r="G654" s="28"/>
      <c r="H654" s="28"/>
      <c r="I654" s="28"/>
      <c r="J654" s="28"/>
      <c r="K654" s="36"/>
      <c r="L654" s="28"/>
      <c r="M654" s="28"/>
      <c r="N654" s="28"/>
      <c r="O654" s="28"/>
      <c r="P654" s="28"/>
      <c r="Q654" s="36"/>
      <c r="R654" s="36"/>
      <c r="S654" s="36"/>
      <c r="T654" s="36"/>
      <c r="U654" s="36"/>
      <c r="V654" s="36"/>
      <c r="W654" s="36"/>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8"/>
      <c r="BW654" s="28"/>
      <c r="BX654" s="28"/>
      <c r="BY654" s="28"/>
      <c r="BZ654" s="28"/>
      <c r="CA654" s="28"/>
      <c r="CB654" s="28"/>
      <c r="CC654" s="28"/>
      <c r="CD654" s="28"/>
      <c r="CE654" s="28"/>
      <c r="CF654" s="28"/>
      <c r="CG654" s="28"/>
    </row>
    <row r="655" spans="1:85" ht="12.75" x14ac:dyDescent="0.2">
      <c r="A655" s="28"/>
      <c r="B655" s="28"/>
      <c r="C655" s="28"/>
      <c r="D655" s="28"/>
      <c r="E655" s="28"/>
      <c r="F655" s="28"/>
      <c r="G655" s="28"/>
      <c r="H655" s="28"/>
      <c r="I655" s="28"/>
      <c r="J655" s="28"/>
      <c r="K655" s="36"/>
      <c r="L655" s="28"/>
      <c r="M655" s="28"/>
      <c r="N655" s="28"/>
      <c r="O655" s="28"/>
      <c r="P655" s="28"/>
      <c r="Q655" s="36"/>
      <c r="R655" s="36"/>
      <c r="S655" s="36"/>
      <c r="T655" s="36"/>
      <c r="U655" s="36"/>
      <c r="V655" s="36"/>
      <c r="W655" s="36"/>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c r="BE655" s="28"/>
      <c r="BF655" s="28"/>
      <c r="BG655" s="28"/>
      <c r="BH655" s="28"/>
      <c r="BI655" s="28"/>
      <c r="BJ655" s="28"/>
      <c r="BK655" s="28"/>
      <c r="BL655" s="28"/>
      <c r="BM655" s="28"/>
      <c r="BN655" s="28"/>
      <c r="BO655" s="28"/>
      <c r="BP655" s="28"/>
      <c r="BQ655" s="28"/>
      <c r="BR655" s="28"/>
      <c r="BS655" s="28"/>
      <c r="BT655" s="28"/>
      <c r="BU655" s="28"/>
      <c r="BV655" s="28"/>
      <c r="BW655" s="28"/>
      <c r="BX655" s="28"/>
      <c r="BY655" s="28"/>
      <c r="BZ655" s="28"/>
      <c r="CA655" s="28"/>
      <c r="CB655" s="28"/>
      <c r="CC655" s="28"/>
      <c r="CD655" s="28"/>
      <c r="CE655" s="28"/>
      <c r="CF655" s="28"/>
      <c r="CG655" s="28"/>
    </row>
    <row r="656" spans="1:85" ht="12.75" x14ac:dyDescent="0.2">
      <c r="A656" s="28"/>
      <c r="B656" s="28"/>
      <c r="C656" s="28"/>
      <c r="D656" s="28"/>
      <c r="E656" s="28"/>
      <c r="F656" s="28"/>
      <c r="G656" s="28"/>
      <c r="H656" s="28"/>
      <c r="I656" s="28"/>
      <c r="J656" s="28"/>
      <c r="K656" s="36"/>
      <c r="L656" s="28"/>
      <c r="M656" s="28"/>
      <c r="N656" s="28"/>
      <c r="O656" s="28"/>
      <c r="P656" s="28"/>
      <c r="Q656" s="36"/>
      <c r="R656" s="36"/>
      <c r="S656" s="36"/>
      <c r="T656" s="36"/>
      <c r="U656" s="36"/>
      <c r="V656" s="36"/>
      <c r="W656" s="36"/>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8"/>
      <c r="BW656" s="28"/>
      <c r="BX656" s="28"/>
      <c r="BY656" s="28"/>
      <c r="BZ656" s="28"/>
      <c r="CA656" s="28"/>
      <c r="CB656" s="28"/>
      <c r="CC656" s="28"/>
      <c r="CD656" s="28"/>
      <c r="CE656" s="28"/>
      <c r="CF656" s="28"/>
      <c r="CG656" s="28"/>
    </row>
    <row r="657" spans="1:85" ht="12.75" x14ac:dyDescent="0.2">
      <c r="A657" s="28"/>
      <c r="B657" s="28"/>
      <c r="C657" s="28"/>
      <c r="D657" s="28"/>
      <c r="E657" s="28"/>
      <c r="F657" s="28"/>
      <c r="G657" s="28"/>
      <c r="H657" s="28"/>
      <c r="I657" s="28"/>
      <c r="J657" s="28"/>
      <c r="K657" s="36"/>
      <c r="L657" s="28"/>
      <c r="M657" s="28"/>
      <c r="N657" s="28"/>
      <c r="O657" s="28"/>
      <c r="P657" s="28"/>
      <c r="Q657" s="36"/>
      <c r="R657" s="36"/>
      <c r="S657" s="36"/>
      <c r="T657" s="36"/>
      <c r="U657" s="36"/>
      <c r="V657" s="36"/>
      <c r="W657" s="36"/>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c r="BE657" s="28"/>
      <c r="BF657" s="28"/>
      <c r="BG657" s="28"/>
      <c r="BH657" s="28"/>
      <c r="BI657" s="28"/>
      <c r="BJ657" s="28"/>
      <c r="BK657" s="28"/>
      <c r="BL657" s="28"/>
      <c r="BM657" s="28"/>
      <c r="BN657" s="28"/>
      <c r="BO657" s="28"/>
      <c r="BP657" s="28"/>
      <c r="BQ657" s="28"/>
      <c r="BR657" s="28"/>
      <c r="BS657" s="28"/>
      <c r="BT657" s="28"/>
      <c r="BU657" s="28"/>
      <c r="BV657" s="28"/>
      <c r="BW657" s="28"/>
      <c r="BX657" s="28"/>
      <c r="BY657" s="28"/>
      <c r="BZ657" s="28"/>
      <c r="CA657" s="28"/>
      <c r="CB657" s="28"/>
      <c r="CC657" s="28"/>
      <c r="CD657" s="28"/>
      <c r="CE657" s="28"/>
      <c r="CF657" s="28"/>
      <c r="CG657" s="28"/>
    </row>
    <row r="658" spans="1:85" ht="12.75" x14ac:dyDescent="0.2">
      <c r="A658" s="28"/>
      <c r="B658" s="28"/>
      <c r="C658" s="28"/>
      <c r="D658" s="28"/>
      <c r="E658" s="28"/>
      <c r="F658" s="28"/>
      <c r="G658" s="28"/>
      <c r="H658" s="28"/>
      <c r="I658" s="28"/>
      <c r="J658" s="28"/>
      <c r="K658" s="36"/>
      <c r="L658" s="28"/>
      <c r="M658" s="28"/>
      <c r="N658" s="28"/>
      <c r="O658" s="28"/>
      <c r="P658" s="28"/>
      <c r="Q658" s="36"/>
      <c r="R658" s="36"/>
      <c r="S658" s="36"/>
      <c r="T658" s="36"/>
      <c r="U658" s="36"/>
      <c r="V658" s="36"/>
      <c r="W658" s="36"/>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8"/>
      <c r="BW658" s="28"/>
      <c r="BX658" s="28"/>
      <c r="BY658" s="28"/>
      <c r="BZ658" s="28"/>
      <c r="CA658" s="28"/>
      <c r="CB658" s="28"/>
      <c r="CC658" s="28"/>
      <c r="CD658" s="28"/>
      <c r="CE658" s="28"/>
      <c r="CF658" s="28"/>
      <c r="CG658" s="28"/>
    </row>
    <row r="659" spans="1:85" ht="12.75" x14ac:dyDescent="0.2">
      <c r="A659" s="28"/>
      <c r="B659" s="28"/>
      <c r="C659" s="28"/>
      <c r="D659" s="28"/>
      <c r="E659" s="28"/>
      <c r="F659" s="28"/>
      <c r="G659" s="28"/>
      <c r="H659" s="28"/>
      <c r="I659" s="28"/>
      <c r="J659" s="28"/>
      <c r="K659" s="36"/>
      <c r="L659" s="28"/>
      <c r="M659" s="28"/>
      <c r="N659" s="28"/>
      <c r="O659" s="28"/>
      <c r="P659" s="28"/>
      <c r="Q659" s="36"/>
      <c r="R659" s="36"/>
      <c r="S659" s="36"/>
      <c r="T659" s="36"/>
      <c r="U659" s="36"/>
      <c r="V659" s="36"/>
      <c r="W659" s="36"/>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c r="BE659" s="28"/>
      <c r="BF659" s="28"/>
      <c r="BG659" s="28"/>
      <c r="BH659" s="28"/>
      <c r="BI659" s="28"/>
      <c r="BJ659" s="28"/>
      <c r="BK659" s="28"/>
      <c r="BL659" s="28"/>
      <c r="BM659" s="28"/>
      <c r="BN659" s="28"/>
      <c r="BO659" s="28"/>
      <c r="BP659" s="28"/>
      <c r="BQ659" s="28"/>
      <c r="BR659" s="28"/>
      <c r="BS659" s="28"/>
      <c r="BT659" s="28"/>
      <c r="BU659" s="28"/>
      <c r="BV659" s="28"/>
      <c r="BW659" s="28"/>
      <c r="BX659" s="28"/>
      <c r="BY659" s="28"/>
      <c r="BZ659" s="28"/>
      <c r="CA659" s="28"/>
      <c r="CB659" s="28"/>
      <c r="CC659" s="28"/>
      <c r="CD659" s="28"/>
      <c r="CE659" s="28"/>
      <c r="CF659" s="28"/>
      <c r="CG659" s="28"/>
    </row>
    <row r="660" spans="1:85" ht="12.75" x14ac:dyDescent="0.2">
      <c r="A660" s="28"/>
      <c r="B660" s="28"/>
      <c r="C660" s="28"/>
      <c r="D660" s="28"/>
      <c r="E660" s="28"/>
      <c r="F660" s="28"/>
      <c r="G660" s="28"/>
      <c r="H660" s="28"/>
      <c r="I660" s="28"/>
      <c r="J660" s="28"/>
      <c r="K660" s="36"/>
      <c r="L660" s="28"/>
      <c r="M660" s="28"/>
      <c r="N660" s="28"/>
      <c r="O660" s="28"/>
      <c r="P660" s="28"/>
      <c r="Q660" s="36"/>
      <c r="R660" s="36"/>
      <c r="S660" s="36"/>
      <c r="T660" s="36"/>
      <c r="U660" s="36"/>
      <c r="V660" s="36"/>
      <c r="W660" s="36"/>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8"/>
      <c r="BW660" s="28"/>
      <c r="BX660" s="28"/>
      <c r="BY660" s="28"/>
      <c r="BZ660" s="28"/>
      <c r="CA660" s="28"/>
      <c r="CB660" s="28"/>
      <c r="CC660" s="28"/>
      <c r="CD660" s="28"/>
      <c r="CE660" s="28"/>
      <c r="CF660" s="28"/>
      <c r="CG660" s="28"/>
    </row>
    <row r="661" spans="1:85" ht="12.75" x14ac:dyDescent="0.2">
      <c r="A661" s="28"/>
      <c r="B661" s="28"/>
      <c r="C661" s="28"/>
      <c r="D661" s="28"/>
      <c r="E661" s="28"/>
      <c r="F661" s="28"/>
      <c r="G661" s="28"/>
      <c r="H661" s="28"/>
      <c r="I661" s="28"/>
      <c r="J661" s="28"/>
      <c r="K661" s="36"/>
      <c r="L661" s="28"/>
      <c r="M661" s="28"/>
      <c r="N661" s="28"/>
      <c r="O661" s="28"/>
      <c r="P661" s="28"/>
      <c r="Q661" s="36"/>
      <c r="R661" s="36"/>
      <c r="S661" s="36"/>
      <c r="T661" s="36"/>
      <c r="U661" s="36"/>
      <c r="V661" s="36"/>
      <c r="W661" s="36"/>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c r="BE661" s="28"/>
      <c r="BF661" s="28"/>
      <c r="BG661" s="28"/>
      <c r="BH661" s="28"/>
      <c r="BI661" s="28"/>
      <c r="BJ661" s="28"/>
      <c r="BK661" s="28"/>
      <c r="BL661" s="28"/>
      <c r="BM661" s="28"/>
      <c r="BN661" s="28"/>
      <c r="BO661" s="28"/>
      <c r="BP661" s="28"/>
      <c r="BQ661" s="28"/>
      <c r="BR661" s="28"/>
      <c r="BS661" s="28"/>
      <c r="BT661" s="28"/>
      <c r="BU661" s="28"/>
      <c r="BV661" s="28"/>
      <c r="BW661" s="28"/>
      <c r="BX661" s="28"/>
      <c r="BY661" s="28"/>
      <c r="BZ661" s="28"/>
      <c r="CA661" s="28"/>
      <c r="CB661" s="28"/>
      <c r="CC661" s="28"/>
      <c r="CD661" s="28"/>
      <c r="CE661" s="28"/>
      <c r="CF661" s="28"/>
      <c r="CG661" s="28"/>
    </row>
    <row r="662" spans="1:85" ht="12.75" x14ac:dyDescent="0.2">
      <c r="A662" s="28"/>
      <c r="B662" s="28"/>
      <c r="C662" s="28"/>
      <c r="D662" s="28"/>
      <c r="E662" s="28"/>
      <c r="F662" s="28"/>
      <c r="G662" s="28"/>
      <c r="H662" s="28"/>
      <c r="I662" s="28"/>
      <c r="J662" s="28"/>
      <c r="K662" s="36"/>
      <c r="L662" s="28"/>
      <c r="M662" s="28"/>
      <c r="N662" s="28"/>
      <c r="O662" s="28"/>
      <c r="P662" s="28"/>
      <c r="Q662" s="36"/>
      <c r="R662" s="36"/>
      <c r="S662" s="36"/>
      <c r="T662" s="36"/>
      <c r="U662" s="36"/>
      <c r="V662" s="36"/>
      <c r="W662" s="36"/>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8"/>
      <c r="BW662" s="28"/>
      <c r="BX662" s="28"/>
      <c r="BY662" s="28"/>
      <c r="BZ662" s="28"/>
      <c r="CA662" s="28"/>
      <c r="CB662" s="28"/>
      <c r="CC662" s="28"/>
      <c r="CD662" s="28"/>
      <c r="CE662" s="28"/>
      <c r="CF662" s="28"/>
      <c r="CG662" s="28"/>
    </row>
    <row r="663" spans="1:85" ht="12.75" x14ac:dyDescent="0.2">
      <c r="A663" s="28"/>
      <c r="B663" s="28"/>
      <c r="C663" s="28"/>
      <c r="D663" s="28"/>
      <c r="E663" s="28"/>
      <c r="F663" s="28"/>
      <c r="G663" s="28"/>
      <c r="H663" s="28"/>
      <c r="I663" s="28"/>
      <c r="J663" s="28"/>
      <c r="K663" s="36"/>
      <c r="L663" s="28"/>
      <c r="M663" s="28"/>
      <c r="N663" s="28"/>
      <c r="O663" s="28"/>
      <c r="P663" s="28"/>
      <c r="Q663" s="36"/>
      <c r="R663" s="36"/>
      <c r="S663" s="36"/>
      <c r="T663" s="36"/>
      <c r="U663" s="36"/>
      <c r="V663" s="36"/>
      <c r="W663" s="36"/>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c r="BE663" s="28"/>
      <c r="BF663" s="28"/>
      <c r="BG663" s="28"/>
      <c r="BH663" s="28"/>
      <c r="BI663" s="28"/>
      <c r="BJ663" s="28"/>
      <c r="BK663" s="28"/>
      <c r="BL663" s="28"/>
      <c r="BM663" s="28"/>
      <c r="BN663" s="28"/>
      <c r="BO663" s="28"/>
      <c r="BP663" s="28"/>
      <c r="BQ663" s="28"/>
      <c r="BR663" s="28"/>
      <c r="BS663" s="28"/>
      <c r="BT663" s="28"/>
      <c r="BU663" s="28"/>
      <c r="BV663" s="28"/>
      <c r="BW663" s="28"/>
      <c r="BX663" s="28"/>
      <c r="BY663" s="28"/>
      <c r="BZ663" s="28"/>
      <c r="CA663" s="28"/>
      <c r="CB663" s="28"/>
      <c r="CC663" s="28"/>
      <c r="CD663" s="28"/>
      <c r="CE663" s="28"/>
      <c r="CF663" s="28"/>
      <c r="CG663" s="28"/>
    </row>
    <row r="664" spans="1:85" ht="12.75" x14ac:dyDescent="0.2">
      <c r="A664" s="28"/>
      <c r="B664" s="28"/>
      <c r="C664" s="28"/>
      <c r="D664" s="28"/>
      <c r="E664" s="28"/>
      <c r="F664" s="28"/>
      <c r="G664" s="28"/>
      <c r="H664" s="28"/>
      <c r="I664" s="28"/>
      <c r="J664" s="28"/>
      <c r="K664" s="36"/>
      <c r="L664" s="28"/>
      <c r="M664" s="28"/>
      <c r="N664" s="28"/>
      <c r="O664" s="28"/>
      <c r="P664" s="28"/>
      <c r="Q664" s="36"/>
      <c r="R664" s="36"/>
      <c r="S664" s="36"/>
      <c r="T664" s="36"/>
      <c r="U664" s="36"/>
      <c r="V664" s="36"/>
      <c r="W664" s="36"/>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8"/>
      <c r="BW664" s="28"/>
      <c r="BX664" s="28"/>
      <c r="BY664" s="28"/>
      <c r="BZ664" s="28"/>
      <c r="CA664" s="28"/>
      <c r="CB664" s="28"/>
      <c r="CC664" s="28"/>
      <c r="CD664" s="28"/>
      <c r="CE664" s="28"/>
      <c r="CF664" s="28"/>
      <c r="CG664" s="28"/>
    </row>
    <row r="665" spans="1:85" ht="12.75" x14ac:dyDescent="0.2">
      <c r="A665" s="28"/>
      <c r="B665" s="28"/>
      <c r="C665" s="28"/>
      <c r="D665" s="28"/>
      <c r="E665" s="28"/>
      <c r="F665" s="28"/>
      <c r="G665" s="28"/>
      <c r="H665" s="28"/>
      <c r="I665" s="28"/>
      <c r="J665" s="28"/>
      <c r="K665" s="36"/>
      <c r="L665" s="28"/>
      <c r="M665" s="28"/>
      <c r="N665" s="28"/>
      <c r="O665" s="28"/>
      <c r="P665" s="28"/>
      <c r="Q665" s="36"/>
      <c r="R665" s="36"/>
      <c r="S665" s="36"/>
      <c r="T665" s="36"/>
      <c r="U665" s="36"/>
      <c r="V665" s="36"/>
      <c r="W665" s="36"/>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c r="BE665" s="28"/>
      <c r="BF665" s="28"/>
      <c r="BG665" s="28"/>
      <c r="BH665" s="28"/>
      <c r="BI665" s="28"/>
      <c r="BJ665" s="28"/>
      <c r="BK665" s="28"/>
      <c r="BL665" s="28"/>
      <c r="BM665" s="28"/>
      <c r="BN665" s="28"/>
      <c r="BO665" s="28"/>
      <c r="BP665" s="28"/>
      <c r="BQ665" s="28"/>
      <c r="BR665" s="28"/>
      <c r="BS665" s="28"/>
      <c r="BT665" s="28"/>
      <c r="BU665" s="28"/>
      <c r="BV665" s="28"/>
      <c r="BW665" s="28"/>
      <c r="BX665" s="28"/>
      <c r="BY665" s="28"/>
      <c r="BZ665" s="28"/>
      <c r="CA665" s="28"/>
      <c r="CB665" s="28"/>
      <c r="CC665" s="28"/>
      <c r="CD665" s="28"/>
      <c r="CE665" s="28"/>
      <c r="CF665" s="28"/>
      <c r="CG665" s="28"/>
    </row>
    <row r="666" spans="1:85" ht="12.75" x14ac:dyDescent="0.2">
      <c r="A666" s="28"/>
      <c r="B666" s="28"/>
      <c r="C666" s="28"/>
      <c r="D666" s="28"/>
      <c r="E666" s="28"/>
      <c r="F666" s="28"/>
      <c r="G666" s="28"/>
      <c r="H666" s="28"/>
      <c r="I666" s="28"/>
      <c r="J666" s="28"/>
      <c r="K666" s="36"/>
      <c r="L666" s="28"/>
      <c r="M666" s="28"/>
      <c r="N666" s="28"/>
      <c r="O666" s="28"/>
      <c r="P666" s="28"/>
      <c r="Q666" s="36"/>
      <c r="R666" s="36"/>
      <c r="S666" s="36"/>
      <c r="T666" s="36"/>
      <c r="U666" s="36"/>
      <c r="V666" s="36"/>
      <c r="W666" s="36"/>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row>
    <row r="667" spans="1:85" ht="12.75" x14ac:dyDescent="0.2">
      <c r="A667" s="28"/>
      <c r="B667" s="28"/>
      <c r="C667" s="28"/>
      <c r="D667" s="28"/>
      <c r="E667" s="28"/>
      <c r="F667" s="28"/>
      <c r="G667" s="28"/>
      <c r="H667" s="28"/>
      <c r="I667" s="28"/>
      <c r="J667" s="28"/>
      <c r="K667" s="36"/>
      <c r="L667" s="28"/>
      <c r="M667" s="28"/>
      <c r="N667" s="28"/>
      <c r="O667" s="28"/>
      <c r="P667" s="28"/>
      <c r="Q667" s="36"/>
      <c r="R667" s="36"/>
      <c r="S667" s="36"/>
      <c r="T667" s="36"/>
      <c r="U667" s="36"/>
      <c r="V667" s="36"/>
      <c r="W667" s="36"/>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c r="BE667" s="28"/>
      <c r="BF667" s="28"/>
      <c r="BG667" s="28"/>
      <c r="BH667" s="28"/>
      <c r="BI667" s="28"/>
      <c r="BJ667" s="28"/>
      <c r="BK667" s="28"/>
      <c r="BL667" s="28"/>
      <c r="BM667" s="28"/>
      <c r="BN667" s="28"/>
      <c r="BO667" s="28"/>
      <c r="BP667" s="28"/>
      <c r="BQ667" s="28"/>
      <c r="BR667" s="28"/>
      <c r="BS667" s="28"/>
      <c r="BT667" s="28"/>
      <c r="BU667" s="28"/>
      <c r="BV667" s="28"/>
      <c r="BW667" s="28"/>
      <c r="BX667" s="28"/>
      <c r="BY667" s="28"/>
      <c r="BZ667" s="28"/>
      <c r="CA667" s="28"/>
      <c r="CB667" s="28"/>
      <c r="CC667" s="28"/>
      <c r="CD667" s="28"/>
      <c r="CE667" s="28"/>
      <c r="CF667" s="28"/>
      <c r="CG667" s="28"/>
    </row>
    <row r="668" spans="1:85" ht="12.75" x14ac:dyDescent="0.2">
      <c r="A668" s="28"/>
      <c r="B668" s="28"/>
      <c r="C668" s="28"/>
      <c r="D668" s="28"/>
      <c r="E668" s="28"/>
      <c r="F668" s="28"/>
      <c r="G668" s="28"/>
      <c r="H668" s="28"/>
      <c r="I668" s="28"/>
      <c r="J668" s="28"/>
      <c r="K668" s="36"/>
      <c r="L668" s="28"/>
      <c r="M668" s="28"/>
      <c r="N668" s="28"/>
      <c r="O668" s="28"/>
      <c r="P668" s="28"/>
      <c r="Q668" s="36"/>
      <c r="R668" s="36"/>
      <c r="S668" s="36"/>
      <c r="T668" s="36"/>
      <c r="U668" s="36"/>
      <c r="V668" s="36"/>
      <c r="W668" s="36"/>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8"/>
      <c r="BW668" s="28"/>
      <c r="BX668" s="28"/>
      <c r="BY668" s="28"/>
      <c r="BZ668" s="28"/>
      <c r="CA668" s="28"/>
      <c r="CB668" s="28"/>
      <c r="CC668" s="28"/>
      <c r="CD668" s="28"/>
      <c r="CE668" s="28"/>
      <c r="CF668" s="28"/>
      <c r="CG668" s="28"/>
    </row>
    <row r="669" spans="1:85" ht="12.75" x14ac:dyDescent="0.2">
      <c r="A669" s="28"/>
      <c r="B669" s="28"/>
      <c r="C669" s="28"/>
      <c r="D669" s="28"/>
      <c r="E669" s="28"/>
      <c r="F669" s="28"/>
      <c r="G669" s="28"/>
      <c r="H669" s="28"/>
      <c r="I669" s="28"/>
      <c r="J669" s="28"/>
      <c r="K669" s="36"/>
      <c r="L669" s="28"/>
      <c r="M669" s="28"/>
      <c r="N669" s="28"/>
      <c r="O669" s="28"/>
      <c r="P669" s="28"/>
      <c r="Q669" s="36"/>
      <c r="R669" s="36"/>
      <c r="S669" s="36"/>
      <c r="T669" s="36"/>
      <c r="U669" s="36"/>
      <c r="V669" s="36"/>
      <c r="W669" s="36"/>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c r="BE669" s="28"/>
      <c r="BF669" s="28"/>
      <c r="BG669" s="28"/>
      <c r="BH669" s="28"/>
      <c r="BI669" s="28"/>
      <c r="BJ669" s="28"/>
      <c r="BK669" s="28"/>
      <c r="BL669" s="28"/>
      <c r="BM669" s="28"/>
      <c r="BN669" s="28"/>
      <c r="BO669" s="28"/>
      <c r="BP669" s="28"/>
      <c r="BQ669" s="28"/>
      <c r="BR669" s="28"/>
      <c r="BS669" s="28"/>
      <c r="BT669" s="28"/>
      <c r="BU669" s="28"/>
      <c r="BV669" s="28"/>
      <c r="BW669" s="28"/>
      <c r="BX669" s="28"/>
      <c r="BY669" s="28"/>
      <c r="BZ669" s="28"/>
      <c r="CA669" s="28"/>
      <c r="CB669" s="28"/>
      <c r="CC669" s="28"/>
      <c r="CD669" s="28"/>
      <c r="CE669" s="28"/>
      <c r="CF669" s="28"/>
      <c r="CG669" s="28"/>
    </row>
    <row r="670" spans="1:85" ht="12.75" x14ac:dyDescent="0.2">
      <c r="A670" s="28"/>
      <c r="B670" s="28"/>
      <c r="C670" s="28"/>
      <c r="D670" s="28"/>
      <c r="E670" s="28"/>
      <c r="F670" s="28"/>
      <c r="G670" s="28"/>
      <c r="H670" s="28"/>
      <c r="I670" s="28"/>
      <c r="J670" s="28"/>
      <c r="K670" s="36"/>
      <c r="L670" s="28"/>
      <c r="M670" s="28"/>
      <c r="N670" s="28"/>
      <c r="O670" s="28"/>
      <c r="P670" s="28"/>
      <c r="Q670" s="36"/>
      <c r="R670" s="36"/>
      <c r="S670" s="36"/>
      <c r="T670" s="36"/>
      <c r="U670" s="36"/>
      <c r="V670" s="36"/>
      <c r="W670" s="36"/>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8"/>
      <c r="BW670" s="28"/>
      <c r="BX670" s="28"/>
      <c r="BY670" s="28"/>
      <c r="BZ670" s="28"/>
      <c r="CA670" s="28"/>
      <c r="CB670" s="28"/>
      <c r="CC670" s="28"/>
      <c r="CD670" s="28"/>
      <c r="CE670" s="28"/>
      <c r="CF670" s="28"/>
      <c r="CG670" s="28"/>
    </row>
    <row r="671" spans="1:85" ht="12.75" x14ac:dyDescent="0.2">
      <c r="A671" s="28"/>
      <c r="B671" s="28"/>
      <c r="C671" s="28"/>
      <c r="D671" s="28"/>
      <c r="E671" s="28"/>
      <c r="F671" s="28"/>
      <c r="G671" s="28"/>
      <c r="H671" s="28"/>
      <c r="I671" s="28"/>
      <c r="J671" s="28"/>
      <c r="K671" s="36"/>
      <c r="L671" s="28"/>
      <c r="M671" s="28"/>
      <c r="N671" s="28"/>
      <c r="O671" s="28"/>
      <c r="P671" s="28"/>
      <c r="Q671" s="36"/>
      <c r="R671" s="36"/>
      <c r="S671" s="36"/>
      <c r="T671" s="36"/>
      <c r="U671" s="36"/>
      <c r="V671" s="36"/>
      <c r="W671" s="36"/>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c r="BE671" s="28"/>
      <c r="BF671" s="28"/>
      <c r="BG671" s="28"/>
      <c r="BH671" s="28"/>
      <c r="BI671" s="28"/>
      <c r="BJ671" s="28"/>
      <c r="BK671" s="28"/>
      <c r="BL671" s="28"/>
      <c r="BM671" s="28"/>
      <c r="BN671" s="28"/>
      <c r="BO671" s="28"/>
      <c r="BP671" s="28"/>
      <c r="BQ671" s="28"/>
      <c r="BR671" s="28"/>
      <c r="BS671" s="28"/>
      <c r="BT671" s="28"/>
      <c r="BU671" s="28"/>
      <c r="BV671" s="28"/>
      <c r="BW671" s="28"/>
      <c r="BX671" s="28"/>
      <c r="BY671" s="28"/>
      <c r="BZ671" s="28"/>
      <c r="CA671" s="28"/>
      <c r="CB671" s="28"/>
      <c r="CC671" s="28"/>
      <c r="CD671" s="28"/>
      <c r="CE671" s="28"/>
      <c r="CF671" s="28"/>
      <c r="CG671" s="28"/>
    </row>
    <row r="672" spans="1:85" ht="12.75" x14ac:dyDescent="0.2">
      <c r="A672" s="28"/>
      <c r="B672" s="28"/>
      <c r="C672" s="28"/>
      <c r="D672" s="28"/>
      <c r="E672" s="28"/>
      <c r="F672" s="28"/>
      <c r="G672" s="28"/>
      <c r="H672" s="28"/>
      <c r="I672" s="28"/>
      <c r="J672" s="28"/>
      <c r="K672" s="36"/>
      <c r="L672" s="28"/>
      <c r="M672" s="28"/>
      <c r="N672" s="28"/>
      <c r="O672" s="28"/>
      <c r="P672" s="28"/>
      <c r="Q672" s="36"/>
      <c r="R672" s="36"/>
      <c r="S672" s="36"/>
      <c r="T672" s="36"/>
      <c r="U672" s="36"/>
      <c r="V672" s="36"/>
      <c r="W672" s="36"/>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8"/>
      <c r="BW672" s="28"/>
      <c r="BX672" s="28"/>
      <c r="BY672" s="28"/>
      <c r="BZ672" s="28"/>
      <c r="CA672" s="28"/>
      <c r="CB672" s="28"/>
      <c r="CC672" s="28"/>
      <c r="CD672" s="28"/>
      <c r="CE672" s="28"/>
      <c r="CF672" s="28"/>
      <c r="CG672" s="28"/>
    </row>
    <row r="673" spans="1:85" ht="12.75" x14ac:dyDescent="0.2">
      <c r="A673" s="28"/>
      <c r="B673" s="28"/>
      <c r="C673" s="28"/>
      <c r="D673" s="28"/>
      <c r="E673" s="28"/>
      <c r="F673" s="28"/>
      <c r="G673" s="28"/>
      <c r="H673" s="28"/>
      <c r="I673" s="28"/>
      <c r="J673" s="28"/>
      <c r="K673" s="36"/>
      <c r="L673" s="28"/>
      <c r="M673" s="28"/>
      <c r="N673" s="28"/>
      <c r="O673" s="28"/>
      <c r="P673" s="28"/>
      <c r="Q673" s="36"/>
      <c r="R673" s="36"/>
      <c r="S673" s="36"/>
      <c r="T673" s="36"/>
      <c r="U673" s="36"/>
      <c r="V673" s="36"/>
      <c r="W673" s="36"/>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c r="BE673" s="28"/>
      <c r="BF673" s="28"/>
      <c r="BG673" s="28"/>
      <c r="BH673" s="28"/>
      <c r="BI673" s="28"/>
      <c r="BJ673" s="28"/>
      <c r="BK673" s="28"/>
      <c r="BL673" s="28"/>
      <c r="BM673" s="28"/>
      <c r="BN673" s="28"/>
      <c r="BO673" s="28"/>
      <c r="BP673" s="28"/>
      <c r="BQ673" s="28"/>
      <c r="BR673" s="28"/>
      <c r="BS673" s="28"/>
      <c r="BT673" s="28"/>
      <c r="BU673" s="28"/>
      <c r="BV673" s="28"/>
      <c r="BW673" s="28"/>
      <c r="BX673" s="28"/>
      <c r="BY673" s="28"/>
      <c r="BZ673" s="28"/>
      <c r="CA673" s="28"/>
      <c r="CB673" s="28"/>
      <c r="CC673" s="28"/>
      <c r="CD673" s="28"/>
      <c r="CE673" s="28"/>
      <c r="CF673" s="28"/>
      <c r="CG673" s="28"/>
    </row>
    <row r="674" spans="1:85" ht="12.75" x14ac:dyDescent="0.2">
      <c r="A674" s="28"/>
      <c r="B674" s="28"/>
      <c r="C674" s="28"/>
      <c r="D674" s="28"/>
      <c r="E674" s="28"/>
      <c r="F674" s="28"/>
      <c r="G674" s="28"/>
      <c r="H674" s="28"/>
      <c r="I674" s="28"/>
      <c r="J674" s="28"/>
      <c r="K674" s="36"/>
      <c r="L674" s="28"/>
      <c r="M674" s="28"/>
      <c r="N674" s="28"/>
      <c r="O674" s="28"/>
      <c r="P674" s="28"/>
      <c r="Q674" s="36"/>
      <c r="R674" s="36"/>
      <c r="S674" s="36"/>
      <c r="T674" s="36"/>
      <c r="U674" s="36"/>
      <c r="V674" s="36"/>
      <c r="W674" s="36"/>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8"/>
      <c r="BW674" s="28"/>
      <c r="BX674" s="28"/>
      <c r="BY674" s="28"/>
      <c r="BZ674" s="28"/>
      <c r="CA674" s="28"/>
      <c r="CB674" s="28"/>
      <c r="CC674" s="28"/>
      <c r="CD674" s="28"/>
      <c r="CE674" s="28"/>
      <c r="CF674" s="28"/>
      <c r="CG674" s="28"/>
    </row>
    <row r="675" spans="1:85" ht="12.75" x14ac:dyDescent="0.2">
      <c r="A675" s="28"/>
      <c r="B675" s="28"/>
      <c r="C675" s="28"/>
      <c r="D675" s="28"/>
      <c r="E675" s="28"/>
      <c r="F675" s="28"/>
      <c r="G675" s="28"/>
      <c r="H675" s="28"/>
      <c r="I675" s="28"/>
      <c r="J675" s="28"/>
      <c r="K675" s="36"/>
      <c r="L675" s="28"/>
      <c r="M675" s="28"/>
      <c r="N675" s="28"/>
      <c r="O675" s="28"/>
      <c r="P675" s="28"/>
      <c r="Q675" s="36"/>
      <c r="R675" s="36"/>
      <c r="S675" s="36"/>
      <c r="T675" s="36"/>
      <c r="U675" s="36"/>
      <c r="V675" s="36"/>
      <c r="W675" s="36"/>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c r="BE675" s="28"/>
      <c r="BF675" s="28"/>
      <c r="BG675" s="28"/>
      <c r="BH675" s="28"/>
      <c r="BI675" s="28"/>
      <c r="BJ675" s="28"/>
      <c r="BK675" s="28"/>
      <c r="BL675" s="28"/>
      <c r="BM675" s="28"/>
      <c r="BN675" s="28"/>
      <c r="BO675" s="28"/>
      <c r="BP675" s="28"/>
      <c r="BQ675" s="28"/>
      <c r="BR675" s="28"/>
      <c r="BS675" s="28"/>
      <c r="BT675" s="28"/>
      <c r="BU675" s="28"/>
      <c r="BV675" s="28"/>
      <c r="BW675" s="28"/>
      <c r="BX675" s="28"/>
      <c r="BY675" s="28"/>
      <c r="BZ675" s="28"/>
      <c r="CA675" s="28"/>
      <c r="CB675" s="28"/>
      <c r="CC675" s="28"/>
      <c r="CD675" s="28"/>
      <c r="CE675" s="28"/>
      <c r="CF675" s="28"/>
      <c r="CG675" s="28"/>
    </row>
    <row r="676" spans="1:85" ht="12.75" x14ac:dyDescent="0.2">
      <c r="A676" s="28"/>
      <c r="B676" s="28"/>
      <c r="C676" s="28"/>
      <c r="D676" s="28"/>
      <c r="E676" s="28"/>
      <c r="F676" s="28"/>
      <c r="G676" s="28"/>
      <c r="H676" s="28"/>
      <c r="I676" s="28"/>
      <c r="J676" s="28"/>
      <c r="K676" s="36"/>
      <c r="L676" s="28"/>
      <c r="M676" s="28"/>
      <c r="N676" s="28"/>
      <c r="O676" s="28"/>
      <c r="P676" s="28"/>
      <c r="Q676" s="36"/>
      <c r="R676" s="36"/>
      <c r="S676" s="36"/>
      <c r="T676" s="36"/>
      <c r="U676" s="36"/>
      <c r="V676" s="36"/>
      <c r="W676" s="36"/>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8"/>
      <c r="BW676" s="28"/>
      <c r="BX676" s="28"/>
      <c r="BY676" s="28"/>
      <c r="BZ676" s="28"/>
      <c r="CA676" s="28"/>
      <c r="CB676" s="28"/>
      <c r="CC676" s="28"/>
      <c r="CD676" s="28"/>
      <c r="CE676" s="28"/>
      <c r="CF676" s="28"/>
      <c r="CG676" s="28"/>
    </row>
    <row r="677" spans="1:85" ht="12.75" x14ac:dyDescent="0.2">
      <c r="A677" s="28"/>
      <c r="B677" s="28"/>
      <c r="C677" s="28"/>
      <c r="D677" s="28"/>
      <c r="E677" s="28"/>
      <c r="F677" s="28"/>
      <c r="G677" s="28"/>
      <c r="H677" s="28"/>
      <c r="I677" s="28"/>
      <c r="J677" s="28"/>
      <c r="K677" s="36"/>
      <c r="L677" s="28"/>
      <c r="M677" s="28"/>
      <c r="N677" s="28"/>
      <c r="O677" s="28"/>
      <c r="P677" s="28"/>
      <c r="Q677" s="36"/>
      <c r="R677" s="36"/>
      <c r="S677" s="36"/>
      <c r="T677" s="36"/>
      <c r="U677" s="36"/>
      <c r="V677" s="36"/>
      <c r="W677" s="36"/>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c r="BE677" s="28"/>
      <c r="BF677" s="28"/>
      <c r="BG677" s="28"/>
      <c r="BH677" s="28"/>
      <c r="BI677" s="28"/>
      <c r="BJ677" s="28"/>
      <c r="BK677" s="28"/>
      <c r="BL677" s="28"/>
      <c r="BM677" s="28"/>
      <c r="BN677" s="28"/>
      <c r="BO677" s="28"/>
      <c r="BP677" s="28"/>
      <c r="BQ677" s="28"/>
      <c r="BR677" s="28"/>
      <c r="BS677" s="28"/>
      <c r="BT677" s="28"/>
      <c r="BU677" s="28"/>
      <c r="BV677" s="28"/>
      <c r="BW677" s="28"/>
      <c r="BX677" s="28"/>
      <c r="BY677" s="28"/>
      <c r="BZ677" s="28"/>
      <c r="CA677" s="28"/>
      <c r="CB677" s="28"/>
      <c r="CC677" s="28"/>
      <c r="CD677" s="28"/>
      <c r="CE677" s="28"/>
      <c r="CF677" s="28"/>
      <c r="CG677" s="28"/>
    </row>
    <row r="678" spans="1:85" ht="12.75" x14ac:dyDescent="0.2">
      <c r="A678" s="28"/>
      <c r="B678" s="28"/>
      <c r="C678" s="28"/>
      <c r="D678" s="28"/>
      <c r="E678" s="28"/>
      <c r="F678" s="28"/>
      <c r="G678" s="28"/>
      <c r="H678" s="28"/>
      <c r="I678" s="28"/>
      <c r="J678" s="28"/>
      <c r="K678" s="36"/>
      <c r="L678" s="28"/>
      <c r="M678" s="28"/>
      <c r="N678" s="28"/>
      <c r="O678" s="28"/>
      <c r="P678" s="28"/>
      <c r="Q678" s="36"/>
      <c r="R678" s="36"/>
      <c r="S678" s="36"/>
      <c r="T678" s="36"/>
      <c r="U678" s="36"/>
      <c r="V678" s="36"/>
      <c r="W678" s="36"/>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8"/>
      <c r="BW678" s="28"/>
      <c r="BX678" s="28"/>
      <c r="BY678" s="28"/>
      <c r="BZ678" s="28"/>
      <c r="CA678" s="28"/>
      <c r="CB678" s="28"/>
      <c r="CC678" s="28"/>
      <c r="CD678" s="28"/>
      <c r="CE678" s="28"/>
      <c r="CF678" s="28"/>
      <c r="CG678" s="28"/>
    </row>
    <row r="679" spans="1:85" ht="12.75" x14ac:dyDescent="0.2">
      <c r="A679" s="28"/>
      <c r="B679" s="28"/>
      <c r="C679" s="28"/>
      <c r="D679" s="28"/>
      <c r="E679" s="28"/>
      <c r="F679" s="28"/>
      <c r="G679" s="28"/>
      <c r="H679" s="28"/>
      <c r="I679" s="28"/>
      <c r="J679" s="28"/>
      <c r="K679" s="36"/>
      <c r="L679" s="28"/>
      <c r="M679" s="28"/>
      <c r="N679" s="28"/>
      <c r="O679" s="28"/>
      <c r="P679" s="28"/>
      <c r="Q679" s="36"/>
      <c r="R679" s="36"/>
      <c r="S679" s="36"/>
      <c r="T679" s="36"/>
      <c r="U679" s="36"/>
      <c r="V679" s="36"/>
      <c r="W679" s="36"/>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c r="BE679" s="28"/>
      <c r="BF679" s="28"/>
      <c r="BG679" s="28"/>
      <c r="BH679" s="28"/>
      <c r="BI679" s="28"/>
      <c r="BJ679" s="28"/>
      <c r="BK679" s="28"/>
      <c r="BL679" s="28"/>
      <c r="BM679" s="28"/>
      <c r="BN679" s="28"/>
      <c r="BO679" s="28"/>
      <c r="BP679" s="28"/>
      <c r="BQ679" s="28"/>
      <c r="BR679" s="28"/>
      <c r="BS679" s="28"/>
      <c r="BT679" s="28"/>
      <c r="BU679" s="28"/>
      <c r="BV679" s="28"/>
      <c r="BW679" s="28"/>
      <c r="BX679" s="28"/>
      <c r="BY679" s="28"/>
      <c r="BZ679" s="28"/>
      <c r="CA679" s="28"/>
      <c r="CB679" s="28"/>
      <c r="CC679" s="28"/>
      <c r="CD679" s="28"/>
      <c r="CE679" s="28"/>
      <c r="CF679" s="28"/>
      <c r="CG679" s="28"/>
    </row>
    <row r="680" spans="1:85" ht="12.75" x14ac:dyDescent="0.2">
      <c r="A680" s="28"/>
      <c r="B680" s="28"/>
      <c r="C680" s="28"/>
      <c r="D680" s="28"/>
      <c r="E680" s="28"/>
      <c r="F680" s="28"/>
      <c r="G680" s="28"/>
      <c r="H680" s="28"/>
      <c r="I680" s="28"/>
      <c r="J680" s="28"/>
      <c r="K680" s="36"/>
      <c r="L680" s="28"/>
      <c r="M680" s="28"/>
      <c r="N680" s="28"/>
      <c r="O680" s="28"/>
      <c r="P680" s="28"/>
      <c r="Q680" s="36"/>
      <c r="R680" s="36"/>
      <c r="S680" s="36"/>
      <c r="T680" s="36"/>
      <c r="U680" s="36"/>
      <c r="V680" s="36"/>
      <c r="W680" s="36"/>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8"/>
      <c r="BW680" s="28"/>
      <c r="BX680" s="28"/>
      <c r="BY680" s="28"/>
      <c r="BZ680" s="28"/>
      <c r="CA680" s="28"/>
      <c r="CB680" s="28"/>
      <c r="CC680" s="28"/>
      <c r="CD680" s="28"/>
      <c r="CE680" s="28"/>
      <c r="CF680" s="28"/>
      <c r="CG680" s="28"/>
    </row>
    <row r="681" spans="1:85" ht="12.75" x14ac:dyDescent="0.2">
      <c r="A681" s="28"/>
      <c r="B681" s="28"/>
      <c r="C681" s="28"/>
      <c r="D681" s="28"/>
      <c r="E681" s="28"/>
      <c r="F681" s="28"/>
      <c r="G681" s="28"/>
      <c r="H681" s="28"/>
      <c r="I681" s="28"/>
      <c r="J681" s="28"/>
      <c r="K681" s="36"/>
      <c r="L681" s="28"/>
      <c r="M681" s="28"/>
      <c r="N681" s="28"/>
      <c r="O681" s="28"/>
      <c r="P681" s="28"/>
      <c r="Q681" s="36"/>
      <c r="R681" s="36"/>
      <c r="S681" s="36"/>
      <c r="T681" s="36"/>
      <c r="U681" s="36"/>
      <c r="V681" s="36"/>
      <c r="W681" s="36"/>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c r="BE681" s="28"/>
      <c r="BF681" s="28"/>
      <c r="BG681" s="28"/>
      <c r="BH681" s="28"/>
      <c r="BI681" s="28"/>
      <c r="BJ681" s="28"/>
      <c r="BK681" s="28"/>
      <c r="BL681" s="28"/>
      <c r="BM681" s="28"/>
      <c r="BN681" s="28"/>
      <c r="BO681" s="28"/>
      <c r="BP681" s="28"/>
      <c r="BQ681" s="28"/>
      <c r="BR681" s="28"/>
      <c r="BS681" s="28"/>
      <c r="BT681" s="28"/>
      <c r="BU681" s="28"/>
      <c r="BV681" s="28"/>
      <c r="BW681" s="28"/>
      <c r="BX681" s="28"/>
      <c r="BY681" s="28"/>
      <c r="BZ681" s="28"/>
      <c r="CA681" s="28"/>
      <c r="CB681" s="28"/>
      <c r="CC681" s="28"/>
      <c r="CD681" s="28"/>
      <c r="CE681" s="28"/>
      <c r="CF681" s="28"/>
      <c r="CG681" s="28"/>
    </row>
    <row r="682" spans="1:85" ht="12.75" x14ac:dyDescent="0.2">
      <c r="A682" s="28"/>
      <c r="B682" s="28"/>
      <c r="C682" s="28"/>
      <c r="D682" s="28"/>
      <c r="E682" s="28"/>
      <c r="F682" s="28"/>
      <c r="G682" s="28"/>
      <c r="H682" s="28"/>
      <c r="I682" s="28"/>
      <c r="J682" s="28"/>
      <c r="K682" s="36"/>
      <c r="L682" s="28"/>
      <c r="M682" s="28"/>
      <c r="N682" s="28"/>
      <c r="O682" s="28"/>
      <c r="P682" s="28"/>
      <c r="Q682" s="36"/>
      <c r="R682" s="36"/>
      <c r="S682" s="36"/>
      <c r="T682" s="36"/>
      <c r="U682" s="36"/>
      <c r="V682" s="36"/>
      <c r="W682" s="36"/>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8"/>
      <c r="BW682" s="28"/>
      <c r="BX682" s="28"/>
      <c r="BY682" s="28"/>
      <c r="BZ682" s="28"/>
      <c r="CA682" s="28"/>
      <c r="CB682" s="28"/>
      <c r="CC682" s="28"/>
      <c r="CD682" s="28"/>
      <c r="CE682" s="28"/>
      <c r="CF682" s="28"/>
      <c r="CG682" s="28"/>
    </row>
    <row r="683" spans="1:85" ht="12.75" x14ac:dyDescent="0.2">
      <c r="A683" s="28"/>
      <c r="B683" s="28"/>
      <c r="C683" s="28"/>
      <c r="D683" s="28"/>
      <c r="E683" s="28"/>
      <c r="F683" s="28"/>
      <c r="G683" s="28"/>
      <c r="H683" s="28"/>
      <c r="I683" s="28"/>
      <c r="J683" s="28"/>
      <c r="K683" s="36"/>
      <c r="L683" s="28"/>
      <c r="M683" s="28"/>
      <c r="N683" s="28"/>
      <c r="O683" s="28"/>
      <c r="P683" s="28"/>
      <c r="Q683" s="36"/>
      <c r="R683" s="36"/>
      <c r="S683" s="36"/>
      <c r="T683" s="36"/>
      <c r="U683" s="36"/>
      <c r="V683" s="36"/>
      <c r="W683" s="36"/>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c r="BE683" s="28"/>
      <c r="BF683" s="28"/>
      <c r="BG683" s="28"/>
      <c r="BH683" s="28"/>
      <c r="BI683" s="28"/>
      <c r="BJ683" s="28"/>
      <c r="BK683" s="28"/>
      <c r="BL683" s="28"/>
      <c r="BM683" s="28"/>
      <c r="BN683" s="28"/>
      <c r="BO683" s="28"/>
      <c r="BP683" s="28"/>
      <c r="BQ683" s="28"/>
      <c r="BR683" s="28"/>
      <c r="BS683" s="28"/>
      <c r="BT683" s="28"/>
      <c r="BU683" s="28"/>
      <c r="BV683" s="28"/>
      <c r="BW683" s="28"/>
      <c r="BX683" s="28"/>
      <c r="BY683" s="28"/>
      <c r="BZ683" s="28"/>
      <c r="CA683" s="28"/>
      <c r="CB683" s="28"/>
      <c r="CC683" s="28"/>
      <c r="CD683" s="28"/>
      <c r="CE683" s="28"/>
      <c r="CF683" s="28"/>
      <c r="CG683" s="28"/>
    </row>
    <row r="684" spans="1:85" ht="12.75" x14ac:dyDescent="0.2">
      <c r="A684" s="28"/>
      <c r="B684" s="28"/>
      <c r="C684" s="28"/>
      <c r="D684" s="28"/>
      <c r="E684" s="28"/>
      <c r="F684" s="28"/>
      <c r="G684" s="28"/>
      <c r="H684" s="28"/>
      <c r="I684" s="28"/>
      <c r="J684" s="28"/>
      <c r="K684" s="36"/>
      <c r="L684" s="28"/>
      <c r="M684" s="28"/>
      <c r="N684" s="28"/>
      <c r="O684" s="28"/>
      <c r="P684" s="28"/>
      <c r="Q684" s="36"/>
      <c r="R684" s="36"/>
      <c r="S684" s="36"/>
      <c r="T684" s="36"/>
      <c r="U684" s="36"/>
      <c r="V684" s="36"/>
      <c r="W684" s="36"/>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8"/>
      <c r="BW684" s="28"/>
      <c r="BX684" s="28"/>
      <c r="BY684" s="28"/>
      <c r="BZ684" s="28"/>
      <c r="CA684" s="28"/>
      <c r="CB684" s="28"/>
      <c r="CC684" s="28"/>
      <c r="CD684" s="28"/>
      <c r="CE684" s="28"/>
      <c r="CF684" s="28"/>
      <c r="CG684" s="28"/>
    </row>
    <row r="685" spans="1:85" ht="12.75" x14ac:dyDescent="0.2">
      <c r="A685" s="28"/>
      <c r="B685" s="28"/>
      <c r="C685" s="28"/>
      <c r="D685" s="28"/>
      <c r="E685" s="28"/>
      <c r="F685" s="28"/>
      <c r="G685" s="28"/>
      <c r="H685" s="28"/>
      <c r="I685" s="28"/>
      <c r="J685" s="28"/>
      <c r="K685" s="36"/>
      <c r="L685" s="28"/>
      <c r="M685" s="28"/>
      <c r="N685" s="28"/>
      <c r="O685" s="28"/>
      <c r="P685" s="28"/>
      <c r="Q685" s="36"/>
      <c r="R685" s="36"/>
      <c r="S685" s="36"/>
      <c r="T685" s="36"/>
      <c r="U685" s="36"/>
      <c r="V685" s="36"/>
      <c r="W685" s="36"/>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c r="BE685" s="28"/>
      <c r="BF685" s="28"/>
      <c r="BG685" s="28"/>
      <c r="BH685" s="28"/>
      <c r="BI685" s="28"/>
      <c r="BJ685" s="28"/>
      <c r="BK685" s="28"/>
      <c r="BL685" s="28"/>
      <c r="BM685" s="28"/>
      <c r="BN685" s="28"/>
      <c r="BO685" s="28"/>
      <c r="BP685" s="28"/>
      <c r="BQ685" s="28"/>
      <c r="BR685" s="28"/>
      <c r="BS685" s="28"/>
      <c r="BT685" s="28"/>
      <c r="BU685" s="28"/>
      <c r="BV685" s="28"/>
      <c r="BW685" s="28"/>
      <c r="BX685" s="28"/>
      <c r="BY685" s="28"/>
      <c r="BZ685" s="28"/>
      <c r="CA685" s="28"/>
      <c r="CB685" s="28"/>
      <c r="CC685" s="28"/>
      <c r="CD685" s="28"/>
      <c r="CE685" s="28"/>
      <c r="CF685" s="28"/>
      <c r="CG685" s="28"/>
    </row>
    <row r="686" spans="1:85" ht="12.75" x14ac:dyDescent="0.2">
      <c r="A686" s="28"/>
      <c r="B686" s="28"/>
      <c r="C686" s="28"/>
      <c r="D686" s="28"/>
      <c r="E686" s="28"/>
      <c r="F686" s="28"/>
      <c r="G686" s="28"/>
      <c r="H686" s="28"/>
      <c r="I686" s="28"/>
      <c r="J686" s="28"/>
      <c r="K686" s="36"/>
      <c r="L686" s="28"/>
      <c r="M686" s="28"/>
      <c r="N686" s="28"/>
      <c r="O686" s="28"/>
      <c r="P686" s="28"/>
      <c r="Q686" s="36"/>
      <c r="R686" s="36"/>
      <c r="S686" s="36"/>
      <c r="T686" s="36"/>
      <c r="U686" s="36"/>
      <c r="V686" s="36"/>
      <c r="W686" s="36"/>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c r="BW686" s="28"/>
      <c r="BX686" s="28"/>
      <c r="BY686" s="28"/>
      <c r="BZ686" s="28"/>
      <c r="CA686" s="28"/>
      <c r="CB686" s="28"/>
      <c r="CC686" s="28"/>
      <c r="CD686" s="28"/>
      <c r="CE686" s="28"/>
      <c r="CF686" s="28"/>
      <c r="CG686" s="28"/>
    </row>
    <row r="687" spans="1:85" ht="12.75" x14ac:dyDescent="0.2">
      <c r="A687" s="28"/>
      <c r="B687" s="28"/>
      <c r="C687" s="28"/>
      <c r="D687" s="28"/>
      <c r="E687" s="28"/>
      <c r="F687" s="28"/>
      <c r="G687" s="28"/>
      <c r="H687" s="28"/>
      <c r="I687" s="28"/>
      <c r="J687" s="28"/>
      <c r="K687" s="36"/>
      <c r="L687" s="28"/>
      <c r="M687" s="28"/>
      <c r="N687" s="28"/>
      <c r="O687" s="28"/>
      <c r="P687" s="28"/>
      <c r="Q687" s="36"/>
      <c r="R687" s="36"/>
      <c r="S687" s="36"/>
      <c r="T687" s="36"/>
      <c r="U687" s="36"/>
      <c r="V687" s="36"/>
      <c r="W687" s="36"/>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c r="BE687" s="28"/>
      <c r="BF687" s="28"/>
      <c r="BG687" s="28"/>
      <c r="BH687" s="28"/>
      <c r="BI687" s="28"/>
      <c r="BJ687" s="28"/>
      <c r="BK687" s="28"/>
      <c r="BL687" s="28"/>
      <c r="BM687" s="28"/>
      <c r="BN687" s="28"/>
      <c r="BO687" s="28"/>
      <c r="BP687" s="28"/>
      <c r="BQ687" s="28"/>
      <c r="BR687" s="28"/>
      <c r="BS687" s="28"/>
      <c r="BT687" s="28"/>
      <c r="BU687" s="28"/>
      <c r="BV687" s="28"/>
      <c r="BW687" s="28"/>
      <c r="BX687" s="28"/>
      <c r="BY687" s="28"/>
      <c r="BZ687" s="28"/>
      <c r="CA687" s="28"/>
      <c r="CB687" s="28"/>
      <c r="CC687" s="28"/>
      <c r="CD687" s="28"/>
      <c r="CE687" s="28"/>
      <c r="CF687" s="28"/>
      <c r="CG687" s="28"/>
    </row>
    <row r="688" spans="1:85" ht="12.75" x14ac:dyDescent="0.2">
      <c r="A688" s="28"/>
      <c r="B688" s="28"/>
      <c r="C688" s="28"/>
      <c r="D688" s="28"/>
      <c r="E688" s="28"/>
      <c r="F688" s="28"/>
      <c r="G688" s="28"/>
      <c r="H688" s="28"/>
      <c r="I688" s="28"/>
      <c r="J688" s="28"/>
      <c r="K688" s="36"/>
      <c r="L688" s="28"/>
      <c r="M688" s="28"/>
      <c r="N688" s="28"/>
      <c r="O688" s="28"/>
      <c r="P688" s="28"/>
      <c r="Q688" s="36"/>
      <c r="R688" s="36"/>
      <c r="S688" s="36"/>
      <c r="T688" s="36"/>
      <c r="U688" s="36"/>
      <c r="V688" s="36"/>
      <c r="W688" s="36"/>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8"/>
      <c r="BW688" s="28"/>
      <c r="BX688" s="28"/>
      <c r="BY688" s="28"/>
      <c r="BZ688" s="28"/>
      <c r="CA688" s="28"/>
      <c r="CB688" s="28"/>
      <c r="CC688" s="28"/>
      <c r="CD688" s="28"/>
      <c r="CE688" s="28"/>
      <c r="CF688" s="28"/>
      <c r="CG688" s="28"/>
    </row>
    <row r="689" spans="1:85" ht="12.75" x14ac:dyDescent="0.2">
      <c r="A689" s="28"/>
      <c r="B689" s="28"/>
      <c r="C689" s="28"/>
      <c r="D689" s="28"/>
      <c r="E689" s="28"/>
      <c r="F689" s="28"/>
      <c r="G689" s="28"/>
      <c r="H689" s="28"/>
      <c r="I689" s="28"/>
      <c r="J689" s="28"/>
      <c r="K689" s="36"/>
      <c r="L689" s="28"/>
      <c r="M689" s="28"/>
      <c r="N689" s="28"/>
      <c r="O689" s="28"/>
      <c r="P689" s="28"/>
      <c r="Q689" s="36"/>
      <c r="R689" s="36"/>
      <c r="S689" s="36"/>
      <c r="T689" s="36"/>
      <c r="U689" s="36"/>
      <c r="V689" s="36"/>
      <c r="W689" s="36"/>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c r="BE689" s="28"/>
      <c r="BF689" s="28"/>
      <c r="BG689" s="28"/>
      <c r="BH689" s="28"/>
      <c r="BI689" s="28"/>
      <c r="BJ689" s="28"/>
      <c r="BK689" s="28"/>
      <c r="BL689" s="28"/>
      <c r="BM689" s="28"/>
      <c r="BN689" s="28"/>
      <c r="BO689" s="28"/>
      <c r="BP689" s="28"/>
      <c r="BQ689" s="28"/>
      <c r="BR689" s="28"/>
      <c r="BS689" s="28"/>
      <c r="BT689" s="28"/>
      <c r="BU689" s="28"/>
      <c r="BV689" s="28"/>
      <c r="BW689" s="28"/>
      <c r="BX689" s="28"/>
      <c r="BY689" s="28"/>
      <c r="BZ689" s="28"/>
      <c r="CA689" s="28"/>
      <c r="CB689" s="28"/>
      <c r="CC689" s="28"/>
      <c r="CD689" s="28"/>
      <c r="CE689" s="28"/>
      <c r="CF689" s="28"/>
      <c r="CG689" s="28"/>
    </row>
    <row r="690" spans="1:85" ht="12.75" x14ac:dyDescent="0.2">
      <c r="A690" s="28"/>
      <c r="B690" s="28"/>
      <c r="C690" s="28"/>
      <c r="D690" s="28"/>
      <c r="E690" s="28"/>
      <c r="F690" s="28"/>
      <c r="G690" s="28"/>
      <c r="H690" s="28"/>
      <c r="I690" s="28"/>
      <c r="J690" s="28"/>
      <c r="K690" s="36"/>
      <c r="L690" s="28"/>
      <c r="M690" s="28"/>
      <c r="N690" s="28"/>
      <c r="O690" s="28"/>
      <c r="P690" s="28"/>
      <c r="Q690" s="36"/>
      <c r="R690" s="36"/>
      <c r="S690" s="36"/>
      <c r="T690" s="36"/>
      <c r="U690" s="36"/>
      <c r="V690" s="36"/>
      <c r="W690" s="36"/>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8"/>
      <c r="BW690" s="28"/>
      <c r="BX690" s="28"/>
      <c r="BY690" s="28"/>
      <c r="BZ690" s="28"/>
      <c r="CA690" s="28"/>
      <c r="CB690" s="28"/>
      <c r="CC690" s="28"/>
      <c r="CD690" s="28"/>
      <c r="CE690" s="28"/>
      <c r="CF690" s="28"/>
      <c r="CG690" s="28"/>
    </row>
    <row r="691" spans="1:85" ht="12.75" x14ac:dyDescent="0.2">
      <c r="A691" s="28"/>
      <c r="B691" s="28"/>
      <c r="C691" s="28"/>
      <c r="D691" s="28"/>
      <c r="E691" s="28"/>
      <c r="F691" s="28"/>
      <c r="G691" s="28"/>
      <c r="H691" s="28"/>
      <c r="I691" s="28"/>
      <c r="J691" s="28"/>
      <c r="K691" s="36"/>
      <c r="L691" s="28"/>
      <c r="M691" s="28"/>
      <c r="N691" s="28"/>
      <c r="O691" s="28"/>
      <c r="P691" s="28"/>
      <c r="Q691" s="36"/>
      <c r="R691" s="36"/>
      <c r="S691" s="36"/>
      <c r="T691" s="36"/>
      <c r="U691" s="36"/>
      <c r="V691" s="36"/>
      <c r="W691" s="36"/>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c r="BE691" s="28"/>
      <c r="BF691" s="28"/>
      <c r="BG691" s="28"/>
      <c r="BH691" s="28"/>
      <c r="BI691" s="28"/>
      <c r="BJ691" s="28"/>
      <c r="BK691" s="28"/>
      <c r="BL691" s="28"/>
      <c r="BM691" s="28"/>
      <c r="BN691" s="28"/>
      <c r="BO691" s="28"/>
      <c r="BP691" s="28"/>
      <c r="BQ691" s="28"/>
      <c r="BR691" s="28"/>
      <c r="BS691" s="28"/>
      <c r="BT691" s="28"/>
      <c r="BU691" s="28"/>
      <c r="BV691" s="28"/>
      <c r="BW691" s="28"/>
      <c r="BX691" s="28"/>
      <c r="BY691" s="28"/>
      <c r="BZ691" s="28"/>
      <c r="CA691" s="28"/>
      <c r="CB691" s="28"/>
      <c r="CC691" s="28"/>
      <c r="CD691" s="28"/>
      <c r="CE691" s="28"/>
      <c r="CF691" s="28"/>
      <c r="CG691" s="28"/>
    </row>
    <row r="692" spans="1:85" ht="12.75" x14ac:dyDescent="0.2">
      <c r="A692" s="28"/>
      <c r="B692" s="28"/>
      <c r="C692" s="28"/>
      <c r="D692" s="28"/>
      <c r="E692" s="28"/>
      <c r="F692" s="28"/>
      <c r="G692" s="28"/>
      <c r="H692" s="28"/>
      <c r="I692" s="28"/>
      <c r="J692" s="28"/>
      <c r="K692" s="36"/>
      <c r="L692" s="28"/>
      <c r="M692" s="28"/>
      <c r="N692" s="28"/>
      <c r="O692" s="28"/>
      <c r="P692" s="28"/>
      <c r="Q692" s="36"/>
      <c r="R692" s="36"/>
      <c r="S692" s="36"/>
      <c r="T692" s="36"/>
      <c r="U692" s="36"/>
      <c r="V692" s="36"/>
      <c r="W692" s="36"/>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8"/>
      <c r="BW692" s="28"/>
      <c r="BX692" s="28"/>
      <c r="BY692" s="28"/>
      <c r="BZ692" s="28"/>
      <c r="CA692" s="28"/>
      <c r="CB692" s="28"/>
      <c r="CC692" s="28"/>
      <c r="CD692" s="28"/>
      <c r="CE692" s="28"/>
      <c r="CF692" s="28"/>
      <c r="CG692" s="28"/>
    </row>
    <row r="693" spans="1:85" ht="12.75" x14ac:dyDescent="0.2">
      <c r="A693" s="28"/>
      <c r="B693" s="28"/>
      <c r="C693" s="28"/>
      <c r="D693" s="28"/>
      <c r="E693" s="28"/>
      <c r="F693" s="28"/>
      <c r="G693" s="28"/>
      <c r="H693" s="28"/>
      <c r="I693" s="28"/>
      <c r="J693" s="28"/>
      <c r="K693" s="36"/>
      <c r="L693" s="28"/>
      <c r="M693" s="28"/>
      <c r="N693" s="28"/>
      <c r="O693" s="28"/>
      <c r="P693" s="28"/>
      <c r="Q693" s="36"/>
      <c r="R693" s="36"/>
      <c r="S693" s="36"/>
      <c r="T693" s="36"/>
      <c r="U693" s="36"/>
      <c r="V693" s="36"/>
      <c r="W693" s="36"/>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c r="BE693" s="28"/>
      <c r="BF693" s="28"/>
      <c r="BG693" s="28"/>
      <c r="BH693" s="28"/>
      <c r="BI693" s="28"/>
      <c r="BJ693" s="28"/>
      <c r="BK693" s="28"/>
      <c r="BL693" s="28"/>
      <c r="BM693" s="28"/>
      <c r="BN693" s="28"/>
      <c r="BO693" s="28"/>
      <c r="BP693" s="28"/>
      <c r="BQ693" s="28"/>
      <c r="BR693" s="28"/>
      <c r="BS693" s="28"/>
      <c r="BT693" s="28"/>
      <c r="BU693" s="28"/>
      <c r="BV693" s="28"/>
      <c r="BW693" s="28"/>
      <c r="BX693" s="28"/>
      <c r="BY693" s="28"/>
      <c r="BZ693" s="28"/>
      <c r="CA693" s="28"/>
      <c r="CB693" s="28"/>
      <c r="CC693" s="28"/>
      <c r="CD693" s="28"/>
      <c r="CE693" s="28"/>
      <c r="CF693" s="28"/>
      <c r="CG693" s="28"/>
    </row>
    <row r="694" spans="1:85" ht="12.75" x14ac:dyDescent="0.2">
      <c r="A694" s="28"/>
      <c r="B694" s="28"/>
      <c r="C694" s="28"/>
      <c r="D694" s="28"/>
      <c r="E694" s="28"/>
      <c r="F694" s="28"/>
      <c r="G694" s="28"/>
      <c r="H694" s="28"/>
      <c r="I694" s="28"/>
      <c r="J694" s="28"/>
      <c r="K694" s="36"/>
      <c r="L694" s="28"/>
      <c r="M694" s="28"/>
      <c r="N694" s="28"/>
      <c r="O694" s="28"/>
      <c r="P694" s="28"/>
      <c r="Q694" s="36"/>
      <c r="R694" s="36"/>
      <c r="S694" s="36"/>
      <c r="T694" s="36"/>
      <c r="U694" s="36"/>
      <c r="V694" s="36"/>
      <c r="W694" s="36"/>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8"/>
      <c r="BW694" s="28"/>
      <c r="BX694" s="28"/>
      <c r="BY694" s="28"/>
      <c r="BZ694" s="28"/>
      <c r="CA694" s="28"/>
      <c r="CB694" s="28"/>
      <c r="CC694" s="28"/>
      <c r="CD694" s="28"/>
      <c r="CE694" s="28"/>
      <c r="CF694" s="28"/>
      <c r="CG694" s="28"/>
    </row>
    <row r="695" spans="1:85" ht="12.75" x14ac:dyDescent="0.2">
      <c r="A695" s="28"/>
      <c r="B695" s="28"/>
      <c r="C695" s="28"/>
      <c r="D695" s="28"/>
      <c r="E695" s="28"/>
      <c r="F695" s="28"/>
      <c r="G695" s="28"/>
      <c r="H695" s="28"/>
      <c r="I695" s="28"/>
      <c r="J695" s="28"/>
      <c r="K695" s="36"/>
      <c r="L695" s="28"/>
      <c r="M695" s="28"/>
      <c r="N695" s="28"/>
      <c r="O695" s="28"/>
      <c r="P695" s="28"/>
      <c r="Q695" s="36"/>
      <c r="R695" s="36"/>
      <c r="S695" s="36"/>
      <c r="T695" s="36"/>
      <c r="U695" s="36"/>
      <c r="V695" s="36"/>
      <c r="W695" s="36"/>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c r="BE695" s="28"/>
      <c r="BF695" s="28"/>
      <c r="BG695" s="28"/>
      <c r="BH695" s="28"/>
      <c r="BI695" s="28"/>
      <c r="BJ695" s="28"/>
      <c r="BK695" s="28"/>
      <c r="BL695" s="28"/>
      <c r="BM695" s="28"/>
      <c r="BN695" s="28"/>
      <c r="BO695" s="28"/>
      <c r="BP695" s="28"/>
      <c r="BQ695" s="28"/>
      <c r="BR695" s="28"/>
      <c r="BS695" s="28"/>
      <c r="BT695" s="28"/>
      <c r="BU695" s="28"/>
      <c r="BV695" s="28"/>
      <c r="BW695" s="28"/>
      <c r="BX695" s="28"/>
      <c r="BY695" s="28"/>
      <c r="BZ695" s="28"/>
      <c r="CA695" s="28"/>
      <c r="CB695" s="28"/>
      <c r="CC695" s="28"/>
      <c r="CD695" s="28"/>
      <c r="CE695" s="28"/>
      <c r="CF695" s="28"/>
      <c r="CG695" s="28"/>
    </row>
    <row r="696" spans="1:85" ht="12.75" x14ac:dyDescent="0.2">
      <c r="A696" s="28"/>
      <c r="B696" s="28"/>
      <c r="C696" s="28"/>
      <c r="D696" s="28"/>
      <c r="E696" s="28"/>
      <c r="F696" s="28"/>
      <c r="G696" s="28"/>
      <c r="H696" s="28"/>
      <c r="I696" s="28"/>
      <c r="J696" s="28"/>
      <c r="K696" s="36"/>
      <c r="L696" s="28"/>
      <c r="M696" s="28"/>
      <c r="N696" s="28"/>
      <c r="O696" s="28"/>
      <c r="P696" s="28"/>
      <c r="Q696" s="36"/>
      <c r="R696" s="36"/>
      <c r="S696" s="36"/>
      <c r="T696" s="36"/>
      <c r="U696" s="36"/>
      <c r="V696" s="36"/>
      <c r="W696" s="36"/>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8"/>
      <c r="BW696" s="28"/>
      <c r="BX696" s="28"/>
      <c r="BY696" s="28"/>
      <c r="BZ696" s="28"/>
      <c r="CA696" s="28"/>
      <c r="CB696" s="28"/>
      <c r="CC696" s="28"/>
      <c r="CD696" s="28"/>
      <c r="CE696" s="28"/>
      <c r="CF696" s="28"/>
      <c r="CG696" s="28"/>
    </row>
    <row r="697" spans="1:85" ht="12.75" x14ac:dyDescent="0.2">
      <c r="A697" s="28"/>
      <c r="B697" s="28"/>
      <c r="C697" s="28"/>
      <c r="D697" s="28"/>
      <c r="E697" s="28"/>
      <c r="F697" s="28"/>
      <c r="G697" s="28"/>
      <c r="H697" s="28"/>
      <c r="I697" s="28"/>
      <c r="J697" s="28"/>
      <c r="K697" s="36"/>
      <c r="L697" s="28"/>
      <c r="M697" s="28"/>
      <c r="N697" s="28"/>
      <c r="O697" s="28"/>
      <c r="P697" s="28"/>
      <c r="Q697" s="36"/>
      <c r="R697" s="36"/>
      <c r="S697" s="36"/>
      <c r="T697" s="36"/>
      <c r="U697" s="36"/>
      <c r="V697" s="36"/>
      <c r="W697" s="36"/>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c r="BE697" s="28"/>
      <c r="BF697" s="28"/>
      <c r="BG697" s="28"/>
      <c r="BH697" s="28"/>
      <c r="BI697" s="28"/>
      <c r="BJ697" s="28"/>
      <c r="BK697" s="28"/>
      <c r="BL697" s="28"/>
      <c r="BM697" s="28"/>
      <c r="BN697" s="28"/>
      <c r="BO697" s="28"/>
      <c r="BP697" s="28"/>
      <c r="BQ697" s="28"/>
      <c r="BR697" s="28"/>
      <c r="BS697" s="28"/>
      <c r="BT697" s="28"/>
      <c r="BU697" s="28"/>
      <c r="BV697" s="28"/>
      <c r="BW697" s="28"/>
      <c r="BX697" s="28"/>
      <c r="BY697" s="28"/>
      <c r="BZ697" s="28"/>
      <c r="CA697" s="28"/>
      <c r="CB697" s="28"/>
      <c r="CC697" s="28"/>
      <c r="CD697" s="28"/>
      <c r="CE697" s="28"/>
      <c r="CF697" s="28"/>
      <c r="CG697" s="28"/>
    </row>
    <row r="698" spans="1:85" ht="12.75" x14ac:dyDescent="0.2">
      <c r="A698" s="28"/>
      <c r="B698" s="28"/>
      <c r="C698" s="28"/>
      <c r="D698" s="28"/>
      <c r="E698" s="28"/>
      <c r="F698" s="28"/>
      <c r="G698" s="28"/>
      <c r="H698" s="28"/>
      <c r="I698" s="28"/>
      <c r="J698" s="28"/>
      <c r="K698" s="36"/>
      <c r="L698" s="28"/>
      <c r="M698" s="28"/>
      <c r="N698" s="28"/>
      <c r="O698" s="28"/>
      <c r="P698" s="28"/>
      <c r="Q698" s="36"/>
      <c r="R698" s="36"/>
      <c r="S698" s="36"/>
      <c r="T698" s="36"/>
      <c r="U698" s="36"/>
      <c r="V698" s="36"/>
      <c r="W698" s="36"/>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8"/>
      <c r="BW698" s="28"/>
      <c r="BX698" s="28"/>
      <c r="BY698" s="28"/>
      <c r="BZ698" s="28"/>
      <c r="CA698" s="28"/>
      <c r="CB698" s="28"/>
      <c r="CC698" s="28"/>
      <c r="CD698" s="28"/>
      <c r="CE698" s="28"/>
      <c r="CF698" s="28"/>
      <c r="CG698" s="28"/>
    </row>
    <row r="699" spans="1:85" ht="12.75" x14ac:dyDescent="0.2">
      <c r="A699" s="28"/>
      <c r="B699" s="28"/>
      <c r="C699" s="28"/>
      <c r="D699" s="28"/>
      <c r="E699" s="28"/>
      <c r="F699" s="28"/>
      <c r="G699" s="28"/>
      <c r="H699" s="28"/>
      <c r="I699" s="28"/>
      <c r="J699" s="28"/>
      <c r="K699" s="36"/>
      <c r="L699" s="28"/>
      <c r="M699" s="28"/>
      <c r="N699" s="28"/>
      <c r="O699" s="28"/>
      <c r="P699" s="28"/>
      <c r="Q699" s="36"/>
      <c r="R699" s="36"/>
      <c r="S699" s="36"/>
      <c r="T699" s="36"/>
      <c r="U699" s="36"/>
      <c r="V699" s="36"/>
      <c r="W699" s="36"/>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c r="BE699" s="28"/>
      <c r="BF699" s="28"/>
      <c r="BG699" s="28"/>
      <c r="BH699" s="28"/>
      <c r="BI699" s="28"/>
      <c r="BJ699" s="28"/>
      <c r="BK699" s="28"/>
      <c r="BL699" s="28"/>
      <c r="BM699" s="28"/>
      <c r="BN699" s="28"/>
      <c r="BO699" s="28"/>
      <c r="BP699" s="28"/>
      <c r="BQ699" s="28"/>
      <c r="BR699" s="28"/>
      <c r="BS699" s="28"/>
      <c r="BT699" s="28"/>
      <c r="BU699" s="28"/>
      <c r="BV699" s="28"/>
      <c r="BW699" s="28"/>
      <c r="BX699" s="28"/>
      <c r="BY699" s="28"/>
      <c r="BZ699" s="28"/>
      <c r="CA699" s="28"/>
      <c r="CB699" s="28"/>
      <c r="CC699" s="28"/>
      <c r="CD699" s="28"/>
      <c r="CE699" s="28"/>
      <c r="CF699" s="28"/>
      <c r="CG699" s="28"/>
    </row>
    <row r="700" spans="1:85" ht="12.75" x14ac:dyDescent="0.2">
      <c r="A700" s="28"/>
      <c r="B700" s="28"/>
      <c r="C700" s="28"/>
      <c r="D700" s="28"/>
      <c r="E700" s="28"/>
      <c r="F700" s="28"/>
      <c r="G700" s="28"/>
      <c r="H700" s="28"/>
      <c r="I700" s="28"/>
      <c r="J700" s="28"/>
      <c r="K700" s="36"/>
      <c r="L700" s="28"/>
      <c r="M700" s="28"/>
      <c r="N700" s="28"/>
      <c r="O700" s="28"/>
      <c r="P700" s="28"/>
      <c r="Q700" s="36"/>
      <c r="R700" s="36"/>
      <c r="S700" s="36"/>
      <c r="T700" s="36"/>
      <c r="U700" s="36"/>
      <c r="V700" s="36"/>
      <c r="W700" s="36"/>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8"/>
      <c r="BW700" s="28"/>
      <c r="BX700" s="28"/>
      <c r="BY700" s="28"/>
      <c r="BZ700" s="28"/>
      <c r="CA700" s="28"/>
      <c r="CB700" s="28"/>
      <c r="CC700" s="28"/>
      <c r="CD700" s="28"/>
      <c r="CE700" s="28"/>
      <c r="CF700" s="28"/>
      <c r="CG700" s="28"/>
    </row>
    <row r="701" spans="1:85" ht="12.75" x14ac:dyDescent="0.2">
      <c r="A701" s="28"/>
      <c r="B701" s="28"/>
      <c r="C701" s="28"/>
      <c r="D701" s="28"/>
      <c r="E701" s="28"/>
      <c r="F701" s="28"/>
      <c r="G701" s="28"/>
      <c r="H701" s="28"/>
      <c r="I701" s="28"/>
      <c r="J701" s="28"/>
      <c r="K701" s="36"/>
      <c r="L701" s="28"/>
      <c r="M701" s="28"/>
      <c r="N701" s="28"/>
      <c r="O701" s="28"/>
      <c r="P701" s="28"/>
      <c r="Q701" s="36"/>
      <c r="R701" s="36"/>
      <c r="S701" s="36"/>
      <c r="T701" s="36"/>
      <c r="U701" s="36"/>
      <c r="V701" s="36"/>
      <c r="W701" s="36"/>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c r="BE701" s="28"/>
      <c r="BF701" s="28"/>
      <c r="BG701" s="28"/>
      <c r="BH701" s="28"/>
      <c r="BI701" s="28"/>
      <c r="BJ701" s="28"/>
      <c r="BK701" s="28"/>
      <c r="BL701" s="28"/>
      <c r="BM701" s="28"/>
      <c r="BN701" s="28"/>
      <c r="BO701" s="28"/>
      <c r="BP701" s="28"/>
      <c r="BQ701" s="28"/>
      <c r="BR701" s="28"/>
      <c r="BS701" s="28"/>
      <c r="BT701" s="28"/>
      <c r="BU701" s="28"/>
      <c r="BV701" s="28"/>
      <c r="BW701" s="28"/>
      <c r="BX701" s="28"/>
      <c r="BY701" s="28"/>
      <c r="BZ701" s="28"/>
      <c r="CA701" s="28"/>
      <c r="CB701" s="28"/>
      <c r="CC701" s="28"/>
      <c r="CD701" s="28"/>
      <c r="CE701" s="28"/>
      <c r="CF701" s="28"/>
      <c r="CG701" s="28"/>
    </row>
    <row r="702" spans="1:85" ht="12.75" x14ac:dyDescent="0.2">
      <c r="A702" s="28"/>
      <c r="B702" s="28"/>
      <c r="C702" s="28"/>
      <c r="D702" s="28"/>
      <c r="E702" s="28"/>
      <c r="F702" s="28"/>
      <c r="G702" s="28"/>
      <c r="H702" s="28"/>
      <c r="I702" s="28"/>
      <c r="J702" s="28"/>
      <c r="K702" s="36"/>
      <c r="L702" s="28"/>
      <c r="M702" s="28"/>
      <c r="N702" s="28"/>
      <c r="O702" s="28"/>
      <c r="P702" s="28"/>
      <c r="Q702" s="36"/>
      <c r="R702" s="36"/>
      <c r="S702" s="36"/>
      <c r="T702" s="36"/>
      <c r="U702" s="36"/>
      <c r="V702" s="36"/>
      <c r="W702" s="36"/>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row>
    <row r="703" spans="1:85" ht="12.75" x14ac:dyDescent="0.2">
      <c r="A703" s="28"/>
      <c r="B703" s="28"/>
      <c r="C703" s="28"/>
      <c r="D703" s="28"/>
      <c r="E703" s="28"/>
      <c r="F703" s="28"/>
      <c r="G703" s="28"/>
      <c r="H703" s="28"/>
      <c r="I703" s="28"/>
      <c r="J703" s="28"/>
      <c r="K703" s="36"/>
      <c r="L703" s="28"/>
      <c r="M703" s="28"/>
      <c r="N703" s="28"/>
      <c r="O703" s="28"/>
      <c r="P703" s="28"/>
      <c r="Q703" s="36"/>
      <c r="R703" s="36"/>
      <c r="S703" s="36"/>
      <c r="T703" s="36"/>
      <c r="U703" s="36"/>
      <c r="V703" s="36"/>
      <c r="W703" s="36"/>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c r="BE703" s="28"/>
      <c r="BF703" s="28"/>
      <c r="BG703" s="28"/>
      <c r="BH703" s="28"/>
      <c r="BI703" s="28"/>
      <c r="BJ703" s="28"/>
      <c r="BK703" s="28"/>
      <c r="BL703" s="28"/>
      <c r="BM703" s="28"/>
      <c r="BN703" s="28"/>
      <c r="BO703" s="28"/>
      <c r="BP703" s="28"/>
      <c r="BQ703" s="28"/>
      <c r="BR703" s="28"/>
      <c r="BS703" s="28"/>
      <c r="BT703" s="28"/>
      <c r="BU703" s="28"/>
      <c r="BV703" s="28"/>
      <c r="BW703" s="28"/>
      <c r="BX703" s="28"/>
      <c r="BY703" s="28"/>
      <c r="BZ703" s="28"/>
      <c r="CA703" s="28"/>
      <c r="CB703" s="28"/>
      <c r="CC703" s="28"/>
      <c r="CD703" s="28"/>
      <c r="CE703" s="28"/>
      <c r="CF703" s="28"/>
      <c r="CG703" s="28"/>
    </row>
    <row r="704" spans="1:85" ht="12.75" x14ac:dyDescent="0.2">
      <c r="A704" s="28"/>
      <c r="B704" s="28"/>
      <c r="C704" s="28"/>
      <c r="D704" s="28"/>
      <c r="E704" s="28"/>
      <c r="F704" s="28"/>
      <c r="G704" s="28"/>
      <c r="H704" s="28"/>
      <c r="I704" s="28"/>
      <c r="J704" s="28"/>
      <c r="K704" s="36"/>
      <c r="L704" s="28"/>
      <c r="M704" s="28"/>
      <c r="N704" s="28"/>
      <c r="O704" s="28"/>
      <c r="P704" s="28"/>
      <c r="Q704" s="36"/>
      <c r="R704" s="36"/>
      <c r="S704" s="36"/>
      <c r="T704" s="36"/>
      <c r="U704" s="36"/>
      <c r="V704" s="36"/>
      <c r="W704" s="36"/>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c r="BW704" s="28"/>
      <c r="BX704" s="28"/>
      <c r="BY704" s="28"/>
      <c r="BZ704" s="28"/>
      <c r="CA704" s="28"/>
      <c r="CB704" s="28"/>
      <c r="CC704" s="28"/>
      <c r="CD704" s="28"/>
      <c r="CE704" s="28"/>
      <c r="CF704" s="28"/>
      <c r="CG704" s="28"/>
    </row>
    <row r="705" spans="1:85" ht="12.75" x14ac:dyDescent="0.2">
      <c r="A705" s="28"/>
      <c r="B705" s="28"/>
      <c r="C705" s="28"/>
      <c r="D705" s="28"/>
      <c r="E705" s="28"/>
      <c r="F705" s="28"/>
      <c r="G705" s="28"/>
      <c r="H705" s="28"/>
      <c r="I705" s="28"/>
      <c r="J705" s="28"/>
      <c r="K705" s="36"/>
      <c r="L705" s="28"/>
      <c r="M705" s="28"/>
      <c r="N705" s="28"/>
      <c r="O705" s="28"/>
      <c r="P705" s="28"/>
      <c r="Q705" s="36"/>
      <c r="R705" s="36"/>
      <c r="S705" s="36"/>
      <c r="T705" s="36"/>
      <c r="U705" s="36"/>
      <c r="V705" s="36"/>
      <c r="W705" s="36"/>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c r="BE705" s="28"/>
      <c r="BF705" s="28"/>
      <c r="BG705" s="28"/>
      <c r="BH705" s="28"/>
      <c r="BI705" s="28"/>
      <c r="BJ705" s="28"/>
      <c r="BK705" s="28"/>
      <c r="BL705" s="28"/>
      <c r="BM705" s="28"/>
      <c r="BN705" s="28"/>
      <c r="BO705" s="28"/>
      <c r="BP705" s="28"/>
      <c r="BQ705" s="28"/>
      <c r="BR705" s="28"/>
      <c r="BS705" s="28"/>
      <c r="BT705" s="28"/>
      <c r="BU705" s="28"/>
      <c r="BV705" s="28"/>
      <c r="BW705" s="28"/>
      <c r="BX705" s="28"/>
      <c r="BY705" s="28"/>
      <c r="BZ705" s="28"/>
      <c r="CA705" s="28"/>
      <c r="CB705" s="28"/>
      <c r="CC705" s="28"/>
      <c r="CD705" s="28"/>
      <c r="CE705" s="28"/>
      <c r="CF705" s="28"/>
      <c r="CG705" s="28"/>
    </row>
    <row r="706" spans="1:85" ht="12.75" x14ac:dyDescent="0.2">
      <c r="A706" s="28"/>
      <c r="B706" s="28"/>
      <c r="C706" s="28"/>
      <c r="D706" s="28"/>
      <c r="E706" s="28"/>
      <c r="F706" s="28"/>
      <c r="G706" s="28"/>
      <c r="H706" s="28"/>
      <c r="I706" s="28"/>
      <c r="J706" s="28"/>
      <c r="K706" s="36"/>
      <c r="L706" s="28"/>
      <c r="M706" s="28"/>
      <c r="N706" s="28"/>
      <c r="O706" s="28"/>
      <c r="P706" s="28"/>
      <c r="Q706" s="36"/>
      <c r="R706" s="36"/>
      <c r="S706" s="36"/>
      <c r="T706" s="36"/>
      <c r="U706" s="36"/>
      <c r="V706" s="36"/>
      <c r="W706" s="36"/>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c r="BW706" s="28"/>
      <c r="BX706" s="28"/>
      <c r="BY706" s="28"/>
      <c r="BZ706" s="28"/>
      <c r="CA706" s="28"/>
      <c r="CB706" s="28"/>
      <c r="CC706" s="28"/>
      <c r="CD706" s="28"/>
      <c r="CE706" s="28"/>
      <c r="CF706" s="28"/>
      <c r="CG706" s="28"/>
    </row>
    <row r="707" spans="1:85" ht="12.75" x14ac:dyDescent="0.2">
      <c r="A707" s="28"/>
      <c r="B707" s="28"/>
      <c r="C707" s="28"/>
      <c r="D707" s="28"/>
      <c r="E707" s="28"/>
      <c r="F707" s="28"/>
      <c r="G707" s="28"/>
      <c r="H707" s="28"/>
      <c r="I707" s="28"/>
      <c r="J707" s="28"/>
      <c r="K707" s="36"/>
      <c r="L707" s="28"/>
      <c r="M707" s="28"/>
      <c r="N707" s="28"/>
      <c r="O707" s="28"/>
      <c r="P707" s="28"/>
      <c r="Q707" s="36"/>
      <c r="R707" s="36"/>
      <c r="S707" s="36"/>
      <c r="T707" s="36"/>
      <c r="U707" s="36"/>
      <c r="V707" s="36"/>
      <c r="W707" s="36"/>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c r="BE707" s="28"/>
      <c r="BF707" s="28"/>
      <c r="BG707" s="28"/>
      <c r="BH707" s="28"/>
      <c r="BI707" s="28"/>
      <c r="BJ707" s="28"/>
      <c r="BK707" s="28"/>
      <c r="BL707" s="28"/>
      <c r="BM707" s="28"/>
      <c r="BN707" s="28"/>
      <c r="BO707" s="28"/>
      <c r="BP707" s="28"/>
      <c r="BQ707" s="28"/>
      <c r="BR707" s="28"/>
      <c r="BS707" s="28"/>
      <c r="BT707" s="28"/>
      <c r="BU707" s="28"/>
      <c r="BV707" s="28"/>
      <c r="BW707" s="28"/>
      <c r="BX707" s="28"/>
      <c r="BY707" s="28"/>
      <c r="BZ707" s="28"/>
      <c r="CA707" s="28"/>
      <c r="CB707" s="28"/>
      <c r="CC707" s="28"/>
      <c r="CD707" s="28"/>
      <c r="CE707" s="28"/>
      <c r="CF707" s="28"/>
      <c r="CG707" s="28"/>
    </row>
    <row r="708" spans="1:85" ht="12.75" x14ac:dyDescent="0.2">
      <c r="A708" s="28"/>
      <c r="B708" s="28"/>
      <c r="C708" s="28"/>
      <c r="D708" s="28"/>
      <c r="E708" s="28"/>
      <c r="F708" s="28"/>
      <c r="G708" s="28"/>
      <c r="H708" s="28"/>
      <c r="I708" s="28"/>
      <c r="J708" s="28"/>
      <c r="K708" s="36"/>
      <c r="L708" s="28"/>
      <c r="M708" s="28"/>
      <c r="N708" s="28"/>
      <c r="O708" s="28"/>
      <c r="P708" s="28"/>
      <c r="Q708" s="36"/>
      <c r="R708" s="36"/>
      <c r="S708" s="36"/>
      <c r="T708" s="36"/>
      <c r="U708" s="36"/>
      <c r="V708" s="36"/>
      <c r="W708" s="36"/>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c r="BW708" s="28"/>
      <c r="BX708" s="28"/>
      <c r="BY708" s="28"/>
      <c r="BZ708" s="28"/>
      <c r="CA708" s="28"/>
      <c r="CB708" s="28"/>
      <c r="CC708" s="28"/>
      <c r="CD708" s="28"/>
      <c r="CE708" s="28"/>
      <c r="CF708" s="28"/>
      <c r="CG708" s="28"/>
    </row>
    <row r="709" spans="1:85" ht="12.75" x14ac:dyDescent="0.2">
      <c r="A709" s="28"/>
      <c r="B709" s="28"/>
      <c r="C709" s="28"/>
      <c r="D709" s="28"/>
      <c r="E709" s="28"/>
      <c r="F709" s="28"/>
      <c r="G709" s="28"/>
      <c r="H709" s="28"/>
      <c r="I709" s="28"/>
      <c r="J709" s="28"/>
      <c r="K709" s="36"/>
      <c r="L709" s="28"/>
      <c r="M709" s="28"/>
      <c r="N709" s="28"/>
      <c r="O709" s="28"/>
      <c r="P709" s="28"/>
      <c r="Q709" s="36"/>
      <c r="R709" s="36"/>
      <c r="S709" s="36"/>
      <c r="T709" s="36"/>
      <c r="U709" s="36"/>
      <c r="V709" s="36"/>
      <c r="W709" s="36"/>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c r="BE709" s="28"/>
      <c r="BF709" s="28"/>
      <c r="BG709" s="28"/>
      <c r="BH709" s="28"/>
      <c r="BI709" s="28"/>
      <c r="BJ709" s="28"/>
      <c r="BK709" s="28"/>
      <c r="BL709" s="28"/>
      <c r="BM709" s="28"/>
      <c r="BN709" s="28"/>
      <c r="BO709" s="28"/>
      <c r="BP709" s="28"/>
      <c r="BQ709" s="28"/>
      <c r="BR709" s="28"/>
      <c r="BS709" s="28"/>
      <c r="BT709" s="28"/>
      <c r="BU709" s="28"/>
      <c r="BV709" s="28"/>
      <c r="BW709" s="28"/>
      <c r="BX709" s="28"/>
      <c r="BY709" s="28"/>
      <c r="BZ709" s="28"/>
      <c r="CA709" s="28"/>
      <c r="CB709" s="28"/>
      <c r="CC709" s="28"/>
      <c r="CD709" s="28"/>
      <c r="CE709" s="28"/>
      <c r="CF709" s="28"/>
      <c r="CG709" s="28"/>
    </row>
    <row r="710" spans="1:85" ht="12.75" x14ac:dyDescent="0.2">
      <c r="A710" s="28"/>
      <c r="B710" s="28"/>
      <c r="C710" s="28"/>
      <c r="D710" s="28"/>
      <c r="E710" s="28"/>
      <c r="F710" s="28"/>
      <c r="G710" s="28"/>
      <c r="H710" s="28"/>
      <c r="I710" s="28"/>
      <c r="J710" s="28"/>
      <c r="K710" s="36"/>
      <c r="L710" s="28"/>
      <c r="M710" s="28"/>
      <c r="N710" s="28"/>
      <c r="O710" s="28"/>
      <c r="P710" s="28"/>
      <c r="Q710" s="36"/>
      <c r="R710" s="36"/>
      <c r="S710" s="36"/>
      <c r="T710" s="36"/>
      <c r="U710" s="36"/>
      <c r="V710" s="36"/>
      <c r="W710" s="36"/>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c r="BW710" s="28"/>
      <c r="BX710" s="28"/>
      <c r="BY710" s="28"/>
      <c r="BZ710" s="28"/>
      <c r="CA710" s="28"/>
      <c r="CB710" s="28"/>
      <c r="CC710" s="28"/>
      <c r="CD710" s="28"/>
      <c r="CE710" s="28"/>
      <c r="CF710" s="28"/>
      <c r="CG710" s="28"/>
    </row>
    <row r="711" spans="1:85" ht="12.75" x14ac:dyDescent="0.2">
      <c r="A711" s="28"/>
      <c r="B711" s="28"/>
      <c r="C711" s="28"/>
      <c r="D711" s="28"/>
      <c r="E711" s="28"/>
      <c r="F711" s="28"/>
      <c r="G711" s="28"/>
      <c r="H711" s="28"/>
      <c r="I711" s="28"/>
      <c r="J711" s="28"/>
      <c r="K711" s="36"/>
      <c r="L711" s="28"/>
      <c r="M711" s="28"/>
      <c r="N711" s="28"/>
      <c r="O711" s="28"/>
      <c r="P711" s="28"/>
      <c r="Q711" s="36"/>
      <c r="R711" s="36"/>
      <c r="S711" s="36"/>
      <c r="T711" s="36"/>
      <c r="U711" s="36"/>
      <c r="V711" s="36"/>
      <c r="W711" s="36"/>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c r="BE711" s="28"/>
      <c r="BF711" s="28"/>
      <c r="BG711" s="28"/>
      <c r="BH711" s="28"/>
      <c r="BI711" s="28"/>
      <c r="BJ711" s="28"/>
      <c r="BK711" s="28"/>
      <c r="BL711" s="28"/>
      <c r="BM711" s="28"/>
      <c r="BN711" s="28"/>
      <c r="BO711" s="28"/>
      <c r="BP711" s="28"/>
      <c r="BQ711" s="28"/>
      <c r="BR711" s="28"/>
      <c r="BS711" s="28"/>
      <c r="BT711" s="28"/>
      <c r="BU711" s="28"/>
      <c r="BV711" s="28"/>
      <c r="BW711" s="28"/>
      <c r="BX711" s="28"/>
      <c r="BY711" s="28"/>
      <c r="BZ711" s="28"/>
      <c r="CA711" s="28"/>
      <c r="CB711" s="28"/>
      <c r="CC711" s="28"/>
      <c r="CD711" s="28"/>
      <c r="CE711" s="28"/>
      <c r="CF711" s="28"/>
      <c r="CG711" s="28"/>
    </row>
    <row r="712" spans="1:85" ht="12.75" x14ac:dyDescent="0.2">
      <c r="A712" s="28"/>
      <c r="B712" s="28"/>
      <c r="C712" s="28"/>
      <c r="D712" s="28"/>
      <c r="E712" s="28"/>
      <c r="F712" s="28"/>
      <c r="G712" s="28"/>
      <c r="H712" s="28"/>
      <c r="I712" s="28"/>
      <c r="J712" s="28"/>
      <c r="K712" s="36"/>
      <c r="L712" s="28"/>
      <c r="M712" s="28"/>
      <c r="N712" s="28"/>
      <c r="O712" s="28"/>
      <c r="P712" s="28"/>
      <c r="Q712" s="36"/>
      <c r="R712" s="36"/>
      <c r="S712" s="36"/>
      <c r="T712" s="36"/>
      <c r="U712" s="36"/>
      <c r="V712" s="36"/>
      <c r="W712" s="36"/>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c r="BW712" s="28"/>
      <c r="BX712" s="28"/>
      <c r="BY712" s="28"/>
      <c r="BZ712" s="28"/>
      <c r="CA712" s="28"/>
      <c r="CB712" s="28"/>
      <c r="CC712" s="28"/>
      <c r="CD712" s="28"/>
      <c r="CE712" s="28"/>
      <c r="CF712" s="28"/>
      <c r="CG712" s="28"/>
    </row>
    <row r="713" spans="1:85" ht="12.75" x14ac:dyDescent="0.2">
      <c r="A713" s="28"/>
      <c r="B713" s="28"/>
      <c r="C713" s="28"/>
      <c r="D713" s="28"/>
      <c r="E713" s="28"/>
      <c r="F713" s="28"/>
      <c r="G713" s="28"/>
      <c r="H713" s="28"/>
      <c r="I713" s="28"/>
      <c r="J713" s="28"/>
      <c r="K713" s="36"/>
      <c r="L713" s="28"/>
      <c r="M713" s="28"/>
      <c r="N713" s="28"/>
      <c r="O713" s="28"/>
      <c r="P713" s="28"/>
      <c r="Q713" s="36"/>
      <c r="R713" s="36"/>
      <c r="S713" s="36"/>
      <c r="T713" s="36"/>
      <c r="U713" s="36"/>
      <c r="V713" s="36"/>
      <c r="W713" s="36"/>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c r="BE713" s="28"/>
      <c r="BF713" s="28"/>
      <c r="BG713" s="28"/>
      <c r="BH713" s="28"/>
      <c r="BI713" s="28"/>
      <c r="BJ713" s="28"/>
      <c r="BK713" s="28"/>
      <c r="BL713" s="28"/>
      <c r="BM713" s="28"/>
      <c r="BN713" s="28"/>
      <c r="BO713" s="28"/>
      <c r="BP713" s="28"/>
      <c r="BQ713" s="28"/>
      <c r="BR713" s="28"/>
      <c r="BS713" s="28"/>
      <c r="BT713" s="28"/>
      <c r="BU713" s="28"/>
      <c r="BV713" s="28"/>
      <c r="BW713" s="28"/>
      <c r="BX713" s="28"/>
      <c r="BY713" s="28"/>
      <c r="BZ713" s="28"/>
      <c r="CA713" s="28"/>
      <c r="CB713" s="28"/>
      <c r="CC713" s="28"/>
      <c r="CD713" s="28"/>
      <c r="CE713" s="28"/>
      <c r="CF713" s="28"/>
      <c r="CG713" s="28"/>
    </row>
    <row r="714" spans="1:85" ht="12.75" x14ac:dyDescent="0.2">
      <c r="A714" s="28"/>
      <c r="B714" s="28"/>
      <c r="C714" s="28"/>
      <c r="D714" s="28"/>
      <c r="E714" s="28"/>
      <c r="F714" s="28"/>
      <c r="G714" s="28"/>
      <c r="H714" s="28"/>
      <c r="I714" s="28"/>
      <c r="J714" s="28"/>
      <c r="K714" s="36"/>
      <c r="L714" s="28"/>
      <c r="M714" s="28"/>
      <c r="N714" s="28"/>
      <c r="O714" s="28"/>
      <c r="P714" s="28"/>
      <c r="Q714" s="36"/>
      <c r="R714" s="36"/>
      <c r="S714" s="36"/>
      <c r="T714" s="36"/>
      <c r="U714" s="36"/>
      <c r="V714" s="36"/>
      <c r="W714" s="36"/>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c r="BW714" s="28"/>
      <c r="BX714" s="28"/>
      <c r="BY714" s="28"/>
      <c r="BZ714" s="28"/>
      <c r="CA714" s="28"/>
      <c r="CB714" s="28"/>
      <c r="CC714" s="28"/>
      <c r="CD714" s="28"/>
      <c r="CE714" s="28"/>
      <c r="CF714" s="28"/>
      <c r="CG714" s="28"/>
    </row>
    <row r="715" spans="1:85" ht="12.75" x14ac:dyDescent="0.2">
      <c r="A715" s="28"/>
      <c r="B715" s="28"/>
      <c r="C715" s="28"/>
      <c r="D715" s="28"/>
      <c r="E715" s="28"/>
      <c r="F715" s="28"/>
      <c r="G715" s="28"/>
      <c r="H715" s="28"/>
      <c r="I715" s="28"/>
      <c r="J715" s="28"/>
      <c r="K715" s="36"/>
      <c r="L715" s="28"/>
      <c r="M715" s="28"/>
      <c r="N715" s="28"/>
      <c r="O715" s="28"/>
      <c r="P715" s="28"/>
      <c r="Q715" s="36"/>
      <c r="R715" s="36"/>
      <c r="S715" s="36"/>
      <c r="T715" s="36"/>
      <c r="U715" s="36"/>
      <c r="V715" s="36"/>
      <c r="W715" s="36"/>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c r="BE715" s="28"/>
      <c r="BF715" s="28"/>
      <c r="BG715" s="28"/>
      <c r="BH715" s="28"/>
      <c r="BI715" s="28"/>
      <c r="BJ715" s="28"/>
      <c r="BK715" s="28"/>
      <c r="BL715" s="28"/>
      <c r="BM715" s="28"/>
      <c r="BN715" s="28"/>
      <c r="BO715" s="28"/>
      <c r="BP715" s="28"/>
      <c r="BQ715" s="28"/>
      <c r="BR715" s="28"/>
      <c r="BS715" s="28"/>
      <c r="BT715" s="28"/>
      <c r="BU715" s="28"/>
      <c r="BV715" s="28"/>
      <c r="BW715" s="28"/>
      <c r="BX715" s="28"/>
      <c r="BY715" s="28"/>
      <c r="BZ715" s="28"/>
      <c r="CA715" s="28"/>
      <c r="CB715" s="28"/>
      <c r="CC715" s="28"/>
      <c r="CD715" s="28"/>
      <c r="CE715" s="28"/>
      <c r="CF715" s="28"/>
      <c r="CG715" s="28"/>
    </row>
    <row r="716" spans="1:85" ht="12.75" x14ac:dyDescent="0.2">
      <c r="A716" s="28"/>
      <c r="B716" s="28"/>
      <c r="C716" s="28"/>
      <c r="D716" s="28"/>
      <c r="E716" s="28"/>
      <c r="F716" s="28"/>
      <c r="G716" s="28"/>
      <c r="H716" s="28"/>
      <c r="I716" s="28"/>
      <c r="J716" s="28"/>
      <c r="K716" s="36"/>
      <c r="L716" s="28"/>
      <c r="M716" s="28"/>
      <c r="N716" s="28"/>
      <c r="O716" s="28"/>
      <c r="P716" s="28"/>
      <c r="Q716" s="36"/>
      <c r="R716" s="36"/>
      <c r="S716" s="36"/>
      <c r="T716" s="36"/>
      <c r="U716" s="36"/>
      <c r="V716" s="36"/>
      <c r="W716" s="36"/>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c r="BW716" s="28"/>
      <c r="BX716" s="28"/>
      <c r="BY716" s="28"/>
      <c r="BZ716" s="28"/>
      <c r="CA716" s="28"/>
      <c r="CB716" s="28"/>
      <c r="CC716" s="28"/>
      <c r="CD716" s="28"/>
      <c r="CE716" s="28"/>
      <c r="CF716" s="28"/>
      <c r="CG716" s="28"/>
    </row>
    <row r="717" spans="1:85" ht="12.75" x14ac:dyDescent="0.2">
      <c r="A717" s="28"/>
      <c r="B717" s="28"/>
      <c r="C717" s="28"/>
      <c r="D717" s="28"/>
      <c r="E717" s="28"/>
      <c r="F717" s="28"/>
      <c r="G717" s="28"/>
      <c r="H717" s="28"/>
      <c r="I717" s="28"/>
      <c r="J717" s="28"/>
      <c r="K717" s="36"/>
      <c r="L717" s="28"/>
      <c r="M717" s="28"/>
      <c r="N717" s="28"/>
      <c r="O717" s="28"/>
      <c r="P717" s="28"/>
      <c r="Q717" s="36"/>
      <c r="R717" s="36"/>
      <c r="S717" s="36"/>
      <c r="T717" s="36"/>
      <c r="U717" s="36"/>
      <c r="V717" s="36"/>
      <c r="W717" s="36"/>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c r="BE717" s="28"/>
      <c r="BF717" s="28"/>
      <c r="BG717" s="28"/>
      <c r="BH717" s="28"/>
      <c r="BI717" s="28"/>
      <c r="BJ717" s="28"/>
      <c r="BK717" s="28"/>
      <c r="BL717" s="28"/>
      <c r="BM717" s="28"/>
      <c r="BN717" s="28"/>
      <c r="BO717" s="28"/>
      <c r="BP717" s="28"/>
      <c r="BQ717" s="28"/>
      <c r="BR717" s="28"/>
      <c r="BS717" s="28"/>
      <c r="BT717" s="28"/>
      <c r="BU717" s="28"/>
      <c r="BV717" s="28"/>
      <c r="BW717" s="28"/>
      <c r="BX717" s="28"/>
      <c r="BY717" s="28"/>
      <c r="BZ717" s="28"/>
      <c r="CA717" s="28"/>
      <c r="CB717" s="28"/>
      <c r="CC717" s="28"/>
      <c r="CD717" s="28"/>
      <c r="CE717" s="28"/>
      <c r="CF717" s="28"/>
      <c r="CG717" s="28"/>
    </row>
    <row r="718" spans="1:85" ht="12.75" x14ac:dyDescent="0.2">
      <c r="A718" s="28"/>
      <c r="B718" s="28"/>
      <c r="C718" s="28"/>
      <c r="D718" s="28"/>
      <c r="E718" s="28"/>
      <c r="F718" s="28"/>
      <c r="G718" s="28"/>
      <c r="H718" s="28"/>
      <c r="I718" s="28"/>
      <c r="J718" s="28"/>
      <c r="K718" s="36"/>
      <c r="L718" s="28"/>
      <c r="M718" s="28"/>
      <c r="N718" s="28"/>
      <c r="O718" s="28"/>
      <c r="P718" s="28"/>
      <c r="Q718" s="36"/>
      <c r="R718" s="36"/>
      <c r="S718" s="36"/>
      <c r="T718" s="36"/>
      <c r="U718" s="36"/>
      <c r="V718" s="36"/>
      <c r="W718" s="36"/>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c r="BW718" s="28"/>
      <c r="BX718" s="28"/>
      <c r="BY718" s="28"/>
      <c r="BZ718" s="28"/>
      <c r="CA718" s="28"/>
      <c r="CB718" s="28"/>
      <c r="CC718" s="28"/>
      <c r="CD718" s="28"/>
      <c r="CE718" s="28"/>
      <c r="CF718" s="28"/>
      <c r="CG718" s="28"/>
    </row>
    <row r="719" spans="1:85" ht="12.75" x14ac:dyDescent="0.2">
      <c r="A719" s="28"/>
      <c r="B719" s="28"/>
      <c r="C719" s="28"/>
      <c r="D719" s="28"/>
      <c r="E719" s="28"/>
      <c r="F719" s="28"/>
      <c r="G719" s="28"/>
      <c r="H719" s="28"/>
      <c r="I719" s="28"/>
      <c r="J719" s="28"/>
      <c r="K719" s="36"/>
      <c r="L719" s="28"/>
      <c r="M719" s="28"/>
      <c r="N719" s="28"/>
      <c r="O719" s="28"/>
      <c r="P719" s="28"/>
      <c r="Q719" s="36"/>
      <c r="R719" s="36"/>
      <c r="S719" s="36"/>
      <c r="T719" s="36"/>
      <c r="U719" s="36"/>
      <c r="V719" s="36"/>
      <c r="W719" s="36"/>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c r="BE719" s="28"/>
      <c r="BF719" s="28"/>
      <c r="BG719" s="28"/>
      <c r="BH719" s="28"/>
      <c r="BI719" s="28"/>
      <c r="BJ719" s="28"/>
      <c r="BK719" s="28"/>
      <c r="BL719" s="28"/>
      <c r="BM719" s="28"/>
      <c r="BN719" s="28"/>
      <c r="BO719" s="28"/>
      <c r="BP719" s="28"/>
      <c r="BQ719" s="28"/>
      <c r="BR719" s="28"/>
      <c r="BS719" s="28"/>
      <c r="BT719" s="28"/>
      <c r="BU719" s="28"/>
      <c r="BV719" s="28"/>
      <c r="BW719" s="28"/>
      <c r="BX719" s="28"/>
      <c r="BY719" s="28"/>
      <c r="BZ719" s="28"/>
      <c r="CA719" s="28"/>
      <c r="CB719" s="28"/>
      <c r="CC719" s="28"/>
      <c r="CD719" s="28"/>
      <c r="CE719" s="28"/>
      <c r="CF719" s="28"/>
      <c r="CG719" s="28"/>
    </row>
    <row r="720" spans="1:85" ht="12.75" x14ac:dyDescent="0.2">
      <c r="A720" s="28"/>
      <c r="B720" s="28"/>
      <c r="C720" s="28"/>
      <c r="D720" s="28"/>
      <c r="E720" s="28"/>
      <c r="F720" s="28"/>
      <c r="G720" s="28"/>
      <c r="H720" s="28"/>
      <c r="I720" s="28"/>
      <c r="J720" s="28"/>
      <c r="K720" s="36"/>
      <c r="L720" s="28"/>
      <c r="M720" s="28"/>
      <c r="N720" s="28"/>
      <c r="O720" s="28"/>
      <c r="P720" s="28"/>
      <c r="Q720" s="36"/>
      <c r="R720" s="36"/>
      <c r="S720" s="36"/>
      <c r="T720" s="36"/>
      <c r="U720" s="36"/>
      <c r="V720" s="36"/>
      <c r="W720" s="36"/>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c r="BW720" s="28"/>
      <c r="BX720" s="28"/>
      <c r="BY720" s="28"/>
      <c r="BZ720" s="28"/>
      <c r="CA720" s="28"/>
      <c r="CB720" s="28"/>
      <c r="CC720" s="28"/>
      <c r="CD720" s="28"/>
      <c r="CE720" s="28"/>
      <c r="CF720" s="28"/>
      <c r="CG720" s="28"/>
    </row>
    <row r="721" spans="1:85" ht="12.75" x14ac:dyDescent="0.2">
      <c r="A721" s="28"/>
      <c r="B721" s="28"/>
      <c r="C721" s="28"/>
      <c r="D721" s="28"/>
      <c r="E721" s="28"/>
      <c r="F721" s="28"/>
      <c r="G721" s="28"/>
      <c r="H721" s="28"/>
      <c r="I721" s="28"/>
      <c r="J721" s="28"/>
      <c r="K721" s="36"/>
      <c r="L721" s="28"/>
      <c r="M721" s="28"/>
      <c r="N721" s="28"/>
      <c r="O721" s="28"/>
      <c r="P721" s="28"/>
      <c r="Q721" s="36"/>
      <c r="R721" s="36"/>
      <c r="S721" s="36"/>
      <c r="T721" s="36"/>
      <c r="U721" s="36"/>
      <c r="V721" s="36"/>
      <c r="W721" s="36"/>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c r="BE721" s="28"/>
      <c r="BF721" s="28"/>
      <c r="BG721" s="28"/>
      <c r="BH721" s="28"/>
      <c r="BI721" s="28"/>
      <c r="BJ721" s="28"/>
      <c r="BK721" s="28"/>
      <c r="BL721" s="28"/>
      <c r="BM721" s="28"/>
      <c r="BN721" s="28"/>
      <c r="BO721" s="28"/>
      <c r="BP721" s="28"/>
      <c r="BQ721" s="28"/>
      <c r="BR721" s="28"/>
      <c r="BS721" s="28"/>
      <c r="BT721" s="28"/>
      <c r="BU721" s="28"/>
      <c r="BV721" s="28"/>
      <c r="BW721" s="28"/>
      <c r="BX721" s="28"/>
      <c r="BY721" s="28"/>
      <c r="BZ721" s="28"/>
      <c r="CA721" s="28"/>
      <c r="CB721" s="28"/>
      <c r="CC721" s="28"/>
      <c r="CD721" s="28"/>
      <c r="CE721" s="28"/>
      <c r="CF721" s="28"/>
      <c r="CG721" s="28"/>
    </row>
    <row r="722" spans="1:85" ht="12.75" x14ac:dyDescent="0.2">
      <c r="A722" s="28"/>
      <c r="B722" s="28"/>
      <c r="C722" s="28"/>
      <c r="D722" s="28"/>
      <c r="E722" s="28"/>
      <c r="F722" s="28"/>
      <c r="G722" s="28"/>
      <c r="H722" s="28"/>
      <c r="I722" s="28"/>
      <c r="J722" s="28"/>
      <c r="K722" s="36"/>
      <c r="L722" s="28"/>
      <c r="M722" s="28"/>
      <c r="N722" s="28"/>
      <c r="O722" s="28"/>
      <c r="P722" s="28"/>
      <c r="Q722" s="36"/>
      <c r="R722" s="36"/>
      <c r="S722" s="36"/>
      <c r="T722" s="36"/>
      <c r="U722" s="36"/>
      <c r="V722" s="36"/>
      <c r="W722" s="36"/>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c r="BW722" s="28"/>
      <c r="BX722" s="28"/>
      <c r="BY722" s="28"/>
      <c r="BZ722" s="28"/>
      <c r="CA722" s="28"/>
      <c r="CB722" s="28"/>
      <c r="CC722" s="28"/>
      <c r="CD722" s="28"/>
      <c r="CE722" s="28"/>
      <c r="CF722" s="28"/>
      <c r="CG722" s="28"/>
    </row>
    <row r="723" spans="1:85" ht="12.75" x14ac:dyDescent="0.2">
      <c r="A723" s="28"/>
      <c r="B723" s="28"/>
      <c r="C723" s="28"/>
      <c r="D723" s="28"/>
      <c r="E723" s="28"/>
      <c r="F723" s="28"/>
      <c r="G723" s="28"/>
      <c r="H723" s="28"/>
      <c r="I723" s="28"/>
      <c r="J723" s="28"/>
      <c r="K723" s="36"/>
      <c r="L723" s="28"/>
      <c r="M723" s="28"/>
      <c r="N723" s="28"/>
      <c r="O723" s="28"/>
      <c r="P723" s="28"/>
      <c r="Q723" s="36"/>
      <c r="R723" s="36"/>
      <c r="S723" s="36"/>
      <c r="T723" s="36"/>
      <c r="U723" s="36"/>
      <c r="V723" s="36"/>
      <c r="W723" s="36"/>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c r="BE723" s="28"/>
      <c r="BF723" s="28"/>
      <c r="BG723" s="28"/>
      <c r="BH723" s="28"/>
      <c r="BI723" s="28"/>
      <c r="BJ723" s="28"/>
      <c r="BK723" s="28"/>
      <c r="BL723" s="28"/>
      <c r="BM723" s="28"/>
      <c r="BN723" s="28"/>
      <c r="BO723" s="28"/>
      <c r="BP723" s="28"/>
      <c r="BQ723" s="28"/>
      <c r="BR723" s="28"/>
      <c r="BS723" s="28"/>
      <c r="BT723" s="28"/>
      <c r="BU723" s="28"/>
      <c r="BV723" s="28"/>
      <c r="BW723" s="28"/>
      <c r="BX723" s="28"/>
      <c r="BY723" s="28"/>
      <c r="BZ723" s="28"/>
      <c r="CA723" s="28"/>
      <c r="CB723" s="28"/>
      <c r="CC723" s="28"/>
      <c r="CD723" s="28"/>
      <c r="CE723" s="28"/>
      <c r="CF723" s="28"/>
      <c r="CG723" s="28"/>
    </row>
    <row r="724" spans="1:85" ht="12.75" x14ac:dyDescent="0.2">
      <c r="A724" s="28"/>
      <c r="B724" s="28"/>
      <c r="C724" s="28"/>
      <c r="D724" s="28"/>
      <c r="E724" s="28"/>
      <c r="F724" s="28"/>
      <c r="G724" s="28"/>
      <c r="H724" s="28"/>
      <c r="I724" s="28"/>
      <c r="J724" s="28"/>
      <c r="K724" s="36"/>
      <c r="L724" s="28"/>
      <c r="M724" s="28"/>
      <c r="N724" s="28"/>
      <c r="O724" s="28"/>
      <c r="P724" s="28"/>
      <c r="Q724" s="36"/>
      <c r="R724" s="36"/>
      <c r="S724" s="36"/>
      <c r="T724" s="36"/>
      <c r="U724" s="36"/>
      <c r="V724" s="36"/>
      <c r="W724" s="36"/>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c r="BW724" s="28"/>
      <c r="BX724" s="28"/>
      <c r="BY724" s="28"/>
      <c r="BZ724" s="28"/>
      <c r="CA724" s="28"/>
      <c r="CB724" s="28"/>
      <c r="CC724" s="28"/>
      <c r="CD724" s="28"/>
      <c r="CE724" s="28"/>
      <c r="CF724" s="28"/>
      <c r="CG724" s="28"/>
    </row>
    <row r="725" spans="1:85" ht="12.75" x14ac:dyDescent="0.2">
      <c r="A725" s="28"/>
      <c r="B725" s="28"/>
      <c r="C725" s="28"/>
      <c r="D725" s="28"/>
      <c r="E725" s="28"/>
      <c r="F725" s="28"/>
      <c r="G725" s="28"/>
      <c r="H725" s="28"/>
      <c r="I725" s="28"/>
      <c r="J725" s="28"/>
      <c r="K725" s="36"/>
      <c r="L725" s="28"/>
      <c r="M725" s="28"/>
      <c r="N725" s="28"/>
      <c r="O725" s="28"/>
      <c r="P725" s="28"/>
      <c r="Q725" s="36"/>
      <c r="R725" s="36"/>
      <c r="S725" s="36"/>
      <c r="T725" s="36"/>
      <c r="U725" s="36"/>
      <c r="V725" s="36"/>
      <c r="W725" s="36"/>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c r="BE725" s="28"/>
      <c r="BF725" s="28"/>
      <c r="BG725" s="28"/>
      <c r="BH725" s="28"/>
      <c r="BI725" s="28"/>
      <c r="BJ725" s="28"/>
      <c r="BK725" s="28"/>
      <c r="BL725" s="28"/>
      <c r="BM725" s="28"/>
      <c r="BN725" s="28"/>
      <c r="BO725" s="28"/>
      <c r="BP725" s="28"/>
      <c r="BQ725" s="28"/>
      <c r="BR725" s="28"/>
      <c r="BS725" s="28"/>
      <c r="BT725" s="28"/>
      <c r="BU725" s="28"/>
      <c r="BV725" s="28"/>
      <c r="BW725" s="28"/>
      <c r="BX725" s="28"/>
      <c r="BY725" s="28"/>
      <c r="BZ725" s="28"/>
      <c r="CA725" s="28"/>
      <c r="CB725" s="28"/>
      <c r="CC725" s="28"/>
      <c r="CD725" s="28"/>
      <c r="CE725" s="28"/>
      <c r="CF725" s="28"/>
      <c r="CG725" s="28"/>
    </row>
    <row r="726" spans="1:85" ht="12.75" x14ac:dyDescent="0.2">
      <c r="A726" s="28"/>
      <c r="B726" s="28"/>
      <c r="C726" s="28"/>
      <c r="D726" s="28"/>
      <c r="E726" s="28"/>
      <c r="F726" s="28"/>
      <c r="G726" s="28"/>
      <c r="H726" s="28"/>
      <c r="I726" s="28"/>
      <c r="J726" s="28"/>
      <c r="K726" s="36"/>
      <c r="L726" s="28"/>
      <c r="M726" s="28"/>
      <c r="N726" s="28"/>
      <c r="O726" s="28"/>
      <c r="P726" s="28"/>
      <c r="Q726" s="36"/>
      <c r="R726" s="36"/>
      <c r="S726" s="36"/>
      <c r="T726" s="36"/>
      <c r="U726" s="36"/>
      <c r="V726" s="36"/>
      <c r="W726" s="36"/>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c r="BW726" s="28"/>
      <c r="BX726" s="28"/>
      <c r="BY726" s="28"/>
      <c r="BZ726" s="28"/>
      <c r="CA726" s="28"/>
      <c r="CB726" s="28"/>
      <c r="CC726" s="28"/>
      <c r="CD726" s="28"/>
      <c r="CE726" s="28"/>
      <c r="CF726" s="28"/>
      <c r="CG726" s="28"/>
    </row>
    <row r="727" spans="1:85" ht="12.75" x14ac:dyDescent="0.2">
      <c r="A727" s="28"/>
      <c r="B727" s="28"/>
      <c r="C727" s="28"/>
      <c r="D727" s="28"/>
      <c r="E727" s="28"/>
      <c r="F727" s="28"/>
      <c r="G727" s="28"/>
      <c r="H727" s="28"/>
      <c r="I727" s="28"/>
      <c r="J727" s="28"/>
      <c r="K727" s="36"/>
      <c r="L727" s="28"/>
      <c r="M727" s="28"/>
      <c r="N727" s="28"/>
      <c r="O727" s="28"/>
      <c r="P727" s="28"/>
      <c r="Q727" s="36"/>
      <c r="R727" s="36"/>
      <c r="S727" s="36"/>
      <c r="T727" s="36"/>
      <c r="U727" s="36"/>
      <c r="V727" s="36"/>
      <c r="W727" s="36"/>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c r="BW727" s="28"/>
      <c r="BX727" s="28"/>
      <c r="BY727" s="28"/>
      <c r="BZ727" s="28"/>
      <c r="CA727" s="28"/>
      <c r="CB727" s="28"/>
      <c r="CC727" s="28"/>
      <c r="CD727" s="28"/>
      <c r="CE727" s="28"/>
      <c r="CF727" s="28"/>
      <c r="CG727" s="28"/>
    </row>
    <row r="728" spans="1:85" ht="12.75" x14ac:dyDescent="0.2">
      <c r="A728" s="28"/>
      <c r="B728" s="28"/>
      <c r="C728" s="28"/>
      <c r="D728" s="28"/>
      <c r="E728" s="28"/>
      <c r="F728" s="28"/>
      <c r="G728" s="28"/>
      <c r="H728" s="28"/>
      <c r="I728" s="28"/>
      <c r="J728" s="28"/>
      <c r="K728" s="36"/>
      <c r="L728" s="28"/>
      <c r="M728" s="28"/>
      <c r="N728" s="28"/>
      <c r="O728" s="28"/>
      <c r="P728" s="28"/>
      <c r="Q728" s="36"/>
      <c r="R728" s="36"/>
      <c r="S728" s="36"/>
      <c r="T728" s="36"/>
      <c r="U728" s="36"/>
      <c r="V728" s="36"/>
      <c r="W728" s="36"/>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c r="BW728" s="28"/>
      <c r="BX728" s="28"/>
      <c r="BY728" s="28"/>
      <c r="BZ728" s="28"/>
      <c r="CA728" s="28"/>
      <c r="CB728" s="28"/>
      <c r="CC728" s="28"/>
      <c r="CD728" s="28"/>
      <c r="CE728" s="28"/>
      <c r="CF728" s="28"/>
      <c r="CG728" s="28"/>
    </row>
    <row r="729" spans="1:85" ht="12.75" x14ac:dyDescent="0.2">
      <c r="A729" s="28"/>
      <c r="B729" s="28"/>
      <c r="C729" s="28"/>
      <c r="D729" s="28"/>
      <c r="E729" s="28"/>
      <c r="F729" s="28"/>
      <c r="G729" s="28"/>
      <c r="H729" s="28"/>
      <c r="I729" s="28"/>
      <c r="J729" s="28"/>
      <c r="K729" s="36"/>
      <c r="L729" s="28"/>
      <c r="M729" s="28"/>
      <c r="N729" s="28"/>
      <c r="O729" s="28"/>
      <c r="P729" s="28"/>
      <c r="Q729" s="36"/>
      <c r="R729" s="36"/>
      <c r="S729" s="36"/>
      <c r="T729" s="36"/>
      <c r="U729" s="36"/>
      <c r="V729" s="36"/>
      <c r="W729" s="36"/>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c r="BE729" s="28"/>
      <c r="BF729" s="28"/>
      <c r="BG729" s="28"/>
      <c r="BH729" s="28"/>
      <c r="BI729" s="28"/>
      <c r="BJ729" s="28"/>
      <c r="BK729" s="28"/>
      <c r="BL729" s="28"/>
      <c r="BM729" s="28"/>
      <c r="BN729" s="28"/>
      <c r="BO729" s="28"/>
      <c r="BP729" s="28"/>
      <c r="BQ729" s="28"/>
      <c r="BR729" s="28"/>
      <c r="BS729" s="28"/>
      <c r="BT729" s="28"/>
      <c r="BU729" s="28"/>
      <c r="BV729" s="28"/>
      <c r="BW729" s="28"/>
      <c r="BX729" s="28"/>
      <c r="BY729" s="28"/>
      <c r="BZ729" s="28"/>
      <c r="CA729" s="28"/>
      <c r="CB729" s="28"/>
      <c r="CC729" s="28"/>
      <c r="CD729" s="28"/>
      <c r="CE729" s="28"/>
      <c r="CF729" s="28"/>
      <c r="CG729" s="28"/>
    </row>
    <row r="730" spans="1:85" ht="12.75" x14ac:dyDescent="0.2">
      <c r="A730" s="28"/>
      <c r="B730" s="28"/>
      <c r="C730" s="28"/>
      <c r="D730" s="28"/>
      <c r="E730" s="28"/>
      <c r="F730" s="28"/>
      <c r="G730" s="28"/>
      <c r="H730" s="28"/>
      <c r="I730" s="28"/>
      <c r="J730" s="28"/>
      <c r="K730" s="36"/>
      <c r="L730" s="28"/>
      <c r="M730" s="28"/>
      <c r="N730" s="28"/>
      <c r="O730" s="28"/>
      <c r="P730" s="28"/>
      <c r="Q730" s="36"/>
      <c r="R730" s="36"/>
      <c r="S730" s="36"/>
      <c r="T730" s="36"/>
      <c r="U730" s="36"/>
      <c r="V730" s="36"/>
      <c r="W730" s="36"/>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c r="BW730" s="28"/>
      <c r="BX730" s="28"/>
      <c r="BY730" s="28"/>
      <c r="BZ730" s="28"/>
      <c r="CA730" s="28"/>
      <c r="CB730" s="28"/>
      <c r="CC730" s="28"/>
      <c r="CD730" s="28"/>
      <c r="CE730" s="28"/>
      <c r="CF730" s="28"/>
      <c r="CG730" s="28"/>
    </row>
    <row r="731" spans="1:85" ht="12.75" x14ac:dyDescent="0.2">
      <c r="A731" s="28"/>
      <c r="B731" s="28"/>
      <c r="C731" s="28"/>
      <c r="D731" s="28"/>
      <c r="E731" s="28"/>
      <c r="F731" s="28"/>
      <c r="G731" s="28"/>
      <c r="H731" s="28"/>
      <c r="I731" s="28"/>
      <c r="J731" s="28"/>
      <c r="K731" s="36"/>
      <c r="L731" s="28"/>
      <c r="M731" s="28"/>
      <c r="N731" s="28"/>
      <c r="O731" s="28"/>
      <c r="P731" s="28"/>
      <c r="Q731" s="36"/>
      <c r="R731" s="36"/>
      <c r="S731" s="36"/>
      <c r="T731" s="36"/>
      <c r="U731" s="36"/>
      <c r="V731" s="36"/>
      <c r="W731" s="36"/>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c r="BE731" s="28"/>
      <c r="BF731" s="28"/>
      <c r="BG731" s="28"/>
      <c r="BH731" s="28"/>
      <c r="BI731" s="28"/>
      <c r="BJ731" s="28"/>
      <c r="BK731" s="28"/>
      <c r="BL731" s="28"/>
      <c r="BM731" s="28"/>
      <c r="BN731" s="28"/>
      <c r="BO731" s="28"/>
      <c r="BP731" s="28"/>
      <c r="BQ731" s="28"/>
      <c r="BR731" s="28"/>
      <c r="BS731" s="28"/>
      <c r="BT731" s="28"/>
      <c r="BU731" s="28"/>
      <c r="BV731" s="28"/>
      <c r="BW731" s="28"/>
      <c r="BX731" s="28"/>
      <c r="BY731" s="28"/>
      <c r="BZ731" s="28"/>
      <c r="CA731" s="28"/>
      <c r="CB731" s="28"/>
      <c r="CC731" s="28"/>
      <c r="CD731" s="28"/>
      <c r="CE731" s="28"/>
      <c r="CF731" s="28"/>
      <c r="CG731" s="28"/>
    </row>
    <row r="732" spans="1:85" ht="12.75" x14ac:dyDescent="0.2">
      <c r="A732" s="28"/>
      <c r="B732" s="28"/>
      <c r="C732" s="28"/>
      <c r="D732" s="28"/>
      <c r="E732" s="28"/>
      <c r="F732" s="28"/>
      <c r="G732" s="28"/>
      <c r="H732" s="28"/>
      <c r="I732" s="28"/>
      <c r="J732" s="28"/>
      <c r="K732" s="36"/>
      <c r="L732" s="28"/>
      <c r="M732" s="28"/>
      <c r="N732" s="28"/>
      <c r="O732" s="28"/>
      <c r="P732" s="28"/>
      <c r="Q732" s="36"/>
      <c r="R732" s="36"/>
      <c r="S732" s="36"/>
      <c r="T732" s="36"/>
      <c r="U732" s="36"/>
      <c r="V732" s="36"/>
      <c r="W732" s="36"/>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c r="BW732" s="28"/>
      <c r="BX732" s="28"/>
      <c r="BY732" s="28"/>
      <c r="BZ732" s="28"/>
      <c r="CA732" s="28"/>
      <c r="CB732" s="28"/>
      <c r="CC732" s="28"/>
      <c r="CD732" s="28"/>
      <c r="CE732" s="28"/>
      <c r="CF732" s="28"/>
      <c r="CG732" s="28"/>
    </row>
    <row r="733" spans="1:85" ht="12.75" x14ac:dyDescent="0.2">
      <c r="A733" s="28"/>
      <c r="B733" s="28"/>
      <c r="C733" s="28"/>
      <c r="D733" s="28"/>
      <c r="E733" s="28"/>
      <c r="F733" s="28"/>
      <c r="G733" s="28"/>
      <c r="H733" s="28"/>
      <c r="I733" s="28"/>
      <c r="J733" s="28"/>
      <c r="K733" s="36"/>
      <c r="L733" s="28"/>
      <c r="M733" s="28"/>
      <c r="N733" s="28"/>
      <c r="O733" s="28"/>
      <c r="P733" s="28"/>
      <c r="Q733" s="36"/>
      <c r="R733" s="36"/>
      <c r="S733" s="36"/>
      <c r="T733" s="36"/>
      <c r="U733" s="36"/>
      <c r="V733" s="36"/>
      <c r="W733" s="36"/>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c r="BE733" s="28"/>
      <c r="BF733" s="28"/>
      <c r="BG733" s="28"/>
      <c r="BH733" s="28"/>
      <c r="BI733" s="28"/>
      <c r="BJ733" s="28"/>
      <c r="BK733" s="28"/>
      <c r="BL733" s="28"/>
      <c r="BM733" s="28"/>
      <c r="BN733" s="28"/>
      <c r="BO733" s="28"/>
      <c r="BP733" s="28"/>
      <c r="BQ733" s="28"/>
      <c r="BR733" s="28"/>
      <c r="BS733" s="28"/>
      <c r="BT733" s="28"/>
      <c r="BU733" s="28"/>
      <c r="BV733" s="28"/>
      <c r="BW733" s="28"/>
      <c r="BX733" s="28"/>
      <c r="BY733" s="28"/>
      <c r="BZ733" s="28"/>
      <c r="CA733" s="28"/>
      <c r="CB733" s="28"/>
      <c r="CC733" s="28"/>
      <c r="CD733" s="28"/>
      <c r="CE733" s="28"/>
      <c r="CF733" s="28"/>
      <c r="CG733" s="28"/>
    </row>
    <row r="734" spans="1:85" ht="12.75" x14ac:dyDescent="0.2">
      <c r="A734" s="28"/>
      <c r="B734" s="28"/>
      <c r="C734" s="28"/>
      <c r="D734" s="28"/>
      <c r="E734" s="28"/>
      <c r="F734" s="28"/>
      <c r="G734" s="28"/>
      <c r="H734" s="28"/>
      <c r="I734" s="28"/>
      <c r="J734" s="28"/>
      <c r="K734" s="36"/>
      <c r="L734" s="28"/>
      <c r="M734" s="28"/>
      <c r="N734" s="28"/>
      <c r="O734" s="28"/>
      <c r="P734" s="28"/>
      <c r="Q734" s="36"/>
      <c r="R734" s="36"/>
      <c r="S734" s="36"/>
      <c r="T734" s="36"/>
      <c r="U734" s="36"/>
      <c r="V734" s="36"/>
      <c r="W734" s="36"/>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c r="BW734" s="28"/>
      <c r="BX734" s="28"/>
      <c r="BY734" s="28"/>
      <c r="BZ734" s="28"/>
      <c r="CA734" s="28"/>
      <c r="CB734" s="28"/>
      <c r="CC734" s="28"/>
      <c r="CD734" s="28"/>
      <c r="CE734" s="28"/>
      <c r="CF734" s="28"/>
      <c r="CG734" s="28"/>
    </row>
    <row r="735" spans="1:85" ht="12.75" x14ac:dyDescent="0.2">
      <c r="A735" s="28"/>
      <c r="B735" s="28"/>
      <c r="C735" s="28"/>
      <c r="D735" s="28"/>
      <c r="E735" s="28"/>
      <c r="F735" s="28"/>
      <c r="G735" s="28"/>
      <c r="H735" s="28"/>
      <c r="I735" s="28"/>
      <c r="J735" s="28"/>
      <c r="K735" s="36"/>
      <c r="L735" s="28"/>
      <c r="M735" s="28"/>
      <c r="N735" s="28"/>
      <c r="O735" s="28"/>
      <c r="P735" s="28"/>
      <c r="Q735" s="36"/>
      <c r="R735" s="36"/>
      <c r="S735" s="36"/>
      <c r="T735" s="36"/>
      <c r="U735" s="36"/>
      <c r="V735" s="36"/>
      <c r="W735" s="36"/>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c r="BE735" s="28"/>
      <c r="BF735" s="28"/>
      <c r="BG735" s="28"/>
      <c r="BH735" s="28"/>
      <c r="BI735" s="28"/>
      <c r="BJ735" s="28"/>
      <c r="BK735" s="28"/>
      <c r="BL735" s="28"/>
      <c r="BM735" s="28"/>
      <c r="BN735" s="28"/>
      <c r="BO735" s="28"/>
      <c r="BP735" s="28"/>
      <c r="BQ735" s="28"/>
      <c r="BR735" s="28"/>
      <c r="BS735" s="28"/>
      <c r="BT735" s="28"/>
      <c r="BU735" s="28"/>
      <c r="BV735" s="28"/>
      <c r="BW735" s="28"/>
      <c r="BX735" s="28"/>
      <c r="BY735" s="28"/>
      <c r="BZ735" s="28"/>
      <c r="CA735" s="28"/>
      <c r="CB735" s="28"/>
      <c r="CC735" s="28"/>
      <c r="CD735" s="28"/>
      <c r="CE735" s="28"/>
      <c r="CF735" s="28"/>
      <c r="CG735" s="28"/>
    </row>
    <row r="736" spans="1:85" ht="12.75" x14ac:dyDescent="0.2">
      <c r="A736" s="28"/>
      <c r="B736" s="28"/>
      <c r="C736" s="28"/>
      <c r="D736" s="28"/>
      <c r="E736" s="28"/>
      <c r="F736" s="28"/>
      <c r="G736" s="28"/>
      <c r="H736" s="28"/>
      <c r="I736" s="28"/>
      <c r="J736" s="28"/>
      <c r="K736" s="36"/>
      <c r="L736" s="28"/>
      <c r="M736" s="28"/>
      <c r="N736" s="28"/>
      <c r="O736" s="28"/>
      <c r="P736" s="28"/>
      <c r="Q736" s="36"/>
      <c r="R736" s="36"/>
      <c r="S736" s="36"/>
      <c r="T736" s="36"/>
      <c r="U736" s="36"/>
      <c r="V736" s="36"/>
      <c r="W736" s="36"/>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c r="BW736" s="28"/>
      <c r="BX736" s="28"/>
      <c r="BY736" s="28"/>
      <c r="BZ736" s="28"/>
      <c r="CA736" s="28"/>
      <c r="CB736" s="28"/>
      <c r="CC736" s="28"/>
      <c r="CD736" s="28"/>
      <c r="CE736" s="28"/>
      <c r="CF736" s="28"/>
      <c r="CG736" s="28"/>
    </row>
    <row r="737" spans="1:85" ht="12.75" x14ac:dyDescent="0.2">
      <c r="A737" s="28"/>
      <c r="B737" s="28"/>
      <c r="C737" s="28"/>
      <c r="D737" s="28"/>
      <c r="E737" s="28"/>
      <c r="F737" s="28"/>
      <c r="G737" s="28"/>
      <c r="H737" s="28"/>
      <c r="I737" s="28"/>
      <c r="J737" s="28"/>
      <c r="K737" s="36"/>
      <c r="L737" s="28"/>
      <c r="M737" s="28"/>
      <c r="N737" s="28"/>
      <c r="O737" s="28"/>
      <c r="P737" s="28"/>
      <c r="Q737" s="36"/>
      <c r="R737" s="36"/>
      <c r="S737" s="36"/>
      <c r="T737" s="36"/>
      <c r="U737" s="36"/>
      <c r="V737" s="36"/>
      <c r="W737" s="36"/>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c r="BE737" s="28"/>
      <c r="BF737" s="28"/>
      <c r="BG737" s="28"/>
      <c r="BH737" s="28"/>
      <c r="BI737" s="28"/>
      <c r="BJ737" s="28"/>
      <c r="BK737" s="28"/>
      <c r="BL737" s="28"/>
      <c r="BM737" s="28"/>
      <c r="BN737" s="28"/>
      <c r="BO737" s="28"/>
      <c r="BP737" s="28"/>
      <c r="BQ737" s="28"/>
      <c r="BR737" s="28"/>
      <c r="BS737" s="28"/>
      <c r="BT737" s="28"/>
      <c r="BU737" s="28"/>
      <c r="BV737" s="28"/>
      <c r="BW737" s="28"/>
      <c r="BX737" s="28"/>
      <c r="BY737" s="28"/>
      <c r="BZ737" s="28"/>
      <c r="CA737" s="28"/>
      <c r="CB737" s="28"/>
      <c r="CC737" s="28"/>
      <c r="CD737" s="28"/>
      <c r="CE737" s="28"/>
      <c r="CF737" s="28"/>
      <c r="CG737" s="28"/>
    </row>
    <row r="738" spans="1:85" ht="12.75" x14ac:dyDescent="0.2">
      <c r="A738" s="28"/>
      <c r="B738" s="28"/>
      <c r="C738" s="28"/>
      <c r="D738" s="28"/>
      <c r="E738" s="28"/>
      <c r="F738" s="28"/>
      <c r="G738" s="28"/>
      <c r="H738" s="28"/>
      <c r="I738" s="28"/>
      <c r="J738" s="28"/>
      <c r="K738" s="36"/>
      <c r="L738" s="28"/>
      <c r="M738" s="28"/>
      <c r="N738" s="28"/>
      <c r="O738" s="28"/>
      <c r="P738" s="28"/>
      <c r="Q738" s="36"/>
      <c r="R738" s="36"/>
      <c r="S738" s="36"/>
      <c r="T738" s="36"/>
      <c r="U738" s="36"/>
      <c r="V738" s="36"/>
      <c r="W738" s="36"/>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c r="BW738" s="28"/>
      <c r="BX738" s="28"/>
      <c r="BY738" s="28"/>
      <c r="BZ738" s="28"/>
      <c r="CA738" s="28"/>
      <c r="CB738" s="28"/>
      <c r="CC738" s="28"/>
      <c r="CD738" s="28"/>
      <c r="CE738" s="28"/>
      <c r="CF738" s="28"/>
      <c r="CG738" s="28"/>
    </row>
    <row r="739" spans="1:85" ht="12.75" x14ac:dyDescent="0.2">
      <c r="A739" s="28"/>
      <c r="B739" s="28"/>
      <c r="C739" s="28"/>
      <c r="D739" s="28"/>
      <c r="E739" s="28"/>
      <c r="F739" s="28"/>
      <c r="G739" s="28"/>
      <c r="H739" s="28"/>
      <c r="I739" s="28"/>
      <c r="J739" s="28"/>
      <c r="K739" s="36"/>
      <c r="L739" s="28"/>
      <c r="M739" s="28"/>
      <c r="N739" s="28"/>
      <c r="O739" s="28"/>
      <c r="P739" s="28"/>
      <c r="Q739" s="36"/>
      <c r="R739" s="36"/>
      <c r="S739" s="36"/>
      <c r="T739" s="36"/>
      <c r="U739" s="36"/>
      <c r="V739" s="36"/>
      <c r="W739" s="36"/>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c r="BE739" s="28"/>
      <c r="BF739" s="28"/>
      <c r="BG739" s="28"/>
      <c r="BH739" s="28"/>
      <c r="BI739" s="28"/>
      <c r="BJ739" s="28"/>
      <c r="BK739" s="28"/>
      <c r="BL739" s="28"/>
      <c r="BM739" s="28"/>
      <c r="BN739" s="28"/>
      <c r="BO739" s="28"/>
      <c r="BP739" s="28"/>
      <c r="BQ739" s="28"/>
      <c r="BR739" s="28"/>
      <c r="BS739" s="28"/>
      <c r="BT739" s="28"/>
      <c r="BU739" s="28"/>
      <c r="BV739" s="28"/>
      <c r="BW739" s="28"/>
      <c r="BX739" s="28"/>
      <c r="BY739" s="28"/>
      <c r="BZ739" s="28"/>
      <c r="CA739" s="28"/>
      <c r="CB739" s="28"/>
      <c r="CC739" s="28"/>
      <c r="CD739" s="28"/>
      <c r="CE739" s="28"/>
      <c r="CF739" s="28"/>
      <c r="CG739" s="28"/>
    </row>
    <row r="740" spans="1:85" ht="12.75" x14ac:dyDescent="0.2">
      <c r="A740" s="28"/>
      <c r="B740" s="28"/>
      <c r="C740" s="28"/>
      <c r="D740" s="28"/>
      <c r="E740" s="28"/>
      <c r="F740" s="28"/>
      <c r="G740" s="28"/>
      <c r="H740" s="28"/>
      <c r="I740" s="28"/>
      <c r="J740" s="28"/>
      <c r="K740" s="36"/>
      <c r="L740" s="28"/>
      <c r="M740" s="28"/>
      <c r="N740" s="28"/>
      <c r="O740" s="28"/>
      <c r="P740" s="28"/>
      <c r="Q740" s="36"/>
      <c r="R740" s="36"/>
      <c r="S740" s="36"/>
      <c r="T740" s="36"/>
      <c r="U740" s="36"/>
      <c r="V740" s="36"/>
      <c r="W740" s="36"/>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c r="BW740" s="28"/>
      <c r="BX740" s="28"/>
      <c r="BY740" s="28"/>
      <c r="BZ740" s="28"/>
      <c r="CA740" s="28"/>
      <c r="CB740" s="28"/>
      <c r="CC740" s="28"/>
      <c r="CD740" s="28"/>
      <c r="CE740" s="28"/>
      <c r="CF740" s="28"/>
      <c r="CG740" s="28"/>
    </row>
    <row r="741" spans="1:85" ht="12.75" x14ac:dyDescent="0.2">
      <c r="A741" s="28"/>
      <c r="B741" s="28"/>
      <c r="C741" s="28"/>
      <c r="D741" s="28"/>
      <c r="E741" s="28"/>
      <c r="F741" s="28"/>
      <c r="G741" s="28"/>
      <c r="H741" s="28"/>
      <c r="I741" s="28"/>
      <c r="J741" s="28"/>
      <c r="K741" s="36"/>
      <c r="L741" s="28"/>
      <c r="M741" s="28"/>
      <c r="N741" s="28"/>
      <c r="O741" s="28"/>
      <c r="P741" s="28"/>
      <c r="Q741" s="36"/>
      <c r="R741" s="36"/>
      <c r="S741" s="36"/>
      <c r="T741" s="36"/>
      <c r="U741" s="36"/>
      <c r="V741" s="36"/>
      <c r="W741" s="36"/>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c r="BE741" s="28"/>
      <c r="BF741" s="28"/>
      <c r="BG741" s="28"/>
      <c r="BH741" s="28"/>
      <c r="BI741" s="28"/>
      <c r="BJ741" s="28"/>
      <c r="BK741" s="28"/>
      <c r="BL741" s="28"/>
      <c r="BM741" s="28"/>
      <c r="BN741" s="28"/>
      <c r="BO741" s="28"/>
      <c r="BP741" s="28"/>
      <c r="BQ741" s="28"/>
      <c r="BR741" s="28"/>
      <c r="BS741" s="28"/>
      <c r="BT741" s="28"/>
      <c r="BU741" s="28"/>
      <c r="BV741" s="28"/>
      <c r="BW741" s="28"/>
      <c r="BX741" s="28"/>
      <c r="BY741" s="28"/>
      <c r="BZ741" s="28"/>
      <c r="CA741" s="28"/>
      <c r="CB741" s="28"/>
      <c r="CC741" s="28"/>
      <c r="CD741" s="28"/>
      <c r="CE741" s="28"/>
      <c r="CF741" s="28"/>
      <c r="CG741" s="28"/>
    </row>
    <row r="742" spans="1:85" ht="12.75" x14ac:dyDescent="0.2">
      <c r="A742" s="28"/>
      <c r="B742" s="28"/>
      <c r="C742" s="28"/>
      <c r="D742" s="28"/>
      <c r="E742" s="28"/>
      <c r="F742" s="28"/>
      <c r="G742" s="28"/>
      <c r="H742" s="28"/>
      <c r="I742" s="28"/>
      <c r="J742" s="28"/>
      <c r="K742" s="36"/>
      <c r="L742" s="28"/>
      <c r="M742" s="28"/>
      <c r="N742" s="28"/>
      <c r="O742" s="28"/>
      <c r="P742" s="28"/>
      <c r="Q742" s="36"/>
      <c r="R742" s="36"/>
      <c r="S742" s="36"/>
      <c r="T742" s="36"/>
      <c r="U742" s="36"/>
      <c r="V742" s="36"/>
      <c r="W742" s="36"/>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c r="BW742" s="28"/>
      <c r="BX742" s="28"/>
      <c r="BY742" s="28"/>
      <c r="BZ742" s="28"/>
      <c r="CA742" s="28"/>
      <c r="CB742" s="28"/>
      <c r="CC742" s="28"/>
      <c r="CD742" s="28"/>
      <c r="CE742" s="28"/>
      <c r="CF742" s="28"/>
      <c r="CG742" s="28"/>
    </row>
    <row r="743" spans="1:85" ht="12.75" x14ac:dyDescent="0.2">
      <c r="A743" s="28"/>
      <c r="B743" s="28"/>
      <c r="C743" s="28"/>
      <c r="D743" s="28"/>
      <c r="E743" s="28"/>
      <c r="F743" s="28"/>
      <c r="G743" s="28"/>
      <c r="H743" s="28"/>
      <c r="I743" s="28"/>
      <c r="J743" s="28"/>
      <c r="K743" s="36"/>
      <c r="L743" s="28"/>
      <c r="M743" s="28"/>
      <c r="N743" s="28"/>
      <c r="O743" s="28"/>
      <c r="P743" s="28"/>
      <c r="Q743" s="36"/>
      <c r="R743" s="36"/>
      <c r="S743" s="36"/>
      <c r="T743" s="36"/>
      <c r="U743" s="36"/>
      <c r="V743" s="36"/>
      <c r="W743" s="36"/>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c r="BE743" s="28"/>
      <c r="BF743" s="28"/>
      <c r="BG743" s="28"/>
      <c r="BH743" s="28"/>
      <c r="BI743" s="28"/>
      <c r="BJ743" s="28"/>
      <c r="BK743" s="28"/>
      <c r="BL743" s="28"/>
      <c r="BM743" s="28"/>
      <c r="BN743" s="28"/>
      <c r="BO743" s="28"/>
      <c r="BP743" s="28"/>
      <c r="BQ743" s="28"/>
      <c r="BR743" s="28"/>
      <c r="BS743" s="28"/>
      <c r="BT743" s="28"/>
      <c r="BU743" s="28"/>
      <c r="BV743" s="28"/>
      <c r="BW743" s="28"/>
      <c r="BX743" s="28"/>
      <c r="BY743" s="28"/>
      <c r="BZ743" s="28"/>
      <c r="CA743" s="28"/>
      <c r="CB743" s="28"/>
      <c r="CC743" s="28"/>
      <c r="CD743" s="28"/>
      <c r="CE743" s="28"/>
      <c r="CF743" s="28"/>
      <c r="CG743" s="28"/>
    </row>
    <row r="744" spans="1:85" ht="12.75" x14ac:dyDescent="0.2">
      <c r="A744" s="28"/>
      <c r="B744" s="28"/>
      <c r="C744" s="28"/>
      <c r="D744" s="28"/>
      <c r="E744" s="28"/>
      <c r="F744" s="28"/>
      <c r="G744" s="28"/>
      <c r="H744" s="28"/>
      <c r="I744" s="28"/>
      <c r="J744" s="28"/>
      <c r="K744" s="36"/>
      <c r="L744" s="28"/>
      <c r="M744" s="28"/>
      <c r="N744" s="28"/>
      <c r="O744" s="28"/>
      <c r="P744" s="28"/>
      <c r="Q744" s="36"/>
      <c r="R744" s="36"/>
      <c r="S744" s="36"/>
      <c r="T744" s="36"/>
      <c r="U744" s="36"/>
      <c r="V744" s="36"/>
      <c r="W744" s="36"/>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c r="BW744" s="28"/>
      <c r="BX744" s="28"/>
      <c r="BY744" s="28"/>
      <c r="BZ744" s="28"/>
      <c r="CA744" s="28"/>
      <c r="CB744" s="28"/>
      <c r="CC744" s="28"/>
      <c r="CD744" s="28"/>
      <c r="CE744" s="28"/>
      <c r="CF744" s="28"/>
      <c r="CG744" s="28"/>
    </row>
    <row r="745" spans="1:85" ht="12.75" x14ac:dyDescent="0.2">
      <c r="A745" s="28"/>
      <c r="B745" s="28"/>
      <c r="C745" s="28"/>
      <c r="D745" s="28"/>
      <c r="E745" s="28"/>
      <c r="F745" s="28"/>
      <c r="G745" s="28"/>
      <c r="H745" s="28"/>
      <c r="I745" s="28"/>
      <c r="J745" s="28"/>
      <c r="K745" s="36"/>
      <c r="L745" s="28"/>
      <c r="M745" s="28"/>
      <c r="N745" s="28"/>
      <c r="O745" s="28"/>
      <c r="P745" s="28"/>
      <c r="Q745" s="36"/>
      <c r="R745" s="36"/>
      <c r="S745" s="36"/>
      <c r="T745" s="36"/>
      <c r="U745" s="36"/>
      <c r="V745" s="36"/>
      <c r="W745" s="36"/>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c r="BE745" s="28"/>
      <c r="BF745" s="28"/>
      <c r="BG745" s="28"/>
      <c r="BH745" s="28"/>
      <c r="BI745" s="28"/>
      <c r="BJ745" s="28"/>
      <c r="BK745" s="28"/>
      <c r="BL745" s="28"/>
      <c r="BM745" s="28"/>
      <c r="BN745" s="28"/>
      <c r="BO745" s="28"/>
      <c r="BP745" s="28"/>
      <c r="BQ745" s="28"/>
      <c r="BR745" s="28"/>
      <c r="BS745" s="28"/>
      <c r="BT745" s="28"/>
      <c r="BU745" s="28"/>
      <c r="BV745" s="28"/>
      <c r="BW745" s="28"/>
      <c r="BX745" s="28"/>
      <c r="BY745" s="28"/>
      <c r="BZ745" s="28"/>
      <c r="CA745" s="28"/>
      <c r="CB745" s="28"/>
      <c r="CC745" s="28"/>
      <c r="CD745" s="28"/>
      <c r="CE745" s="28"/>
      <c r="CF745" s="28"/>
      <c r="CG745" s="28"/>
    </row>
    <row r="746" spans="1:85" ht="12.75" x14ac:dyDescent="0.2">
      <c r="A746" s="28"/>
      <c r="B746" s="28"/>
      <c r="C746" s="28"/>
      <c r="D746" s="28"/>
      <c r="E746" s="28"/>
      <c r="F746" s="28"/>
      <c r="G746" s="28"/>
      <c r="H746" s="28"/>
      <c r="I746" s="28"/>
      <c r="J746" s="28"/>
      <c r="K746" s="36"/>
      <c r="L746" s="28"/>
      <c r="M746" s="28"/>
      <c r="N746" s="28"/>
      <c r="O746" s="28"/>
      <c r="P746" s="28"/>
      <c r="Q746" s="36"/>
      <c r="R746" s="36"/>
      <c r="S746" s="36"/>
      <c r="T746" s="36"/>
      <c r="U746" s="36"/>
      <c r="V746" s="36"/>
      <c r="W746" s="36"/>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c r="BW746" s="28"/>
      <c r="BX746" s="28"/>
      <c r="BY746" s="28"/>
      <c r="BZ746" s="28"/>
      <c r="CA746" s="28"/>
      <c r="CB746" s="28"/>
      <c r="CC746" s="28"/>
      <c r="CD746" s="28"/>
      <c r="CE746" s="28"/>
      <c r="CF746" s="28"/>
      <c r="CG746" s="28"/>
    </row>
    <row r="747" spans="1:85" ht="12.75" x14ac:dyDescent="0.2">
      <c r="A747" s="28"/>
      <c r="B747" s="28"/>
      <c r="C747" s="28"/>
      <c r="D747" s="28"/>
      <c r="E747" s="28"/>
      <c r="F747" s="28"/>
      <c r="G747" s="28"/>
      <c r="H747" s="28"/>
      <c r="I747" s="28"/>
      <c r="J747" s="28"/>
      <c r="K747" s="36"/>
      <c r="L747" s="28"/>
      <c r="M747" s="28"/>
      <c r="N747" s="28"/>
      <c r="O747" s="28"/>
      <c r="P747" s="28"/>
      <c r="Q747" s="36"/>
      <c r="R747" s="36"/>
      <c r="S747" s="36"/>
      <c r="T747" s="36"/>
      <c r="U747" s="36"/>
      <c r="V747" s="36"/>
      <c r="W747" s="36"/>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c r="BE747" s="28"/>
      <c r="BF747" s="28"/>
      <c r="BG747" s="28"/>
      <c r="BH747" s="28"/>
      <c r="BI747" s="28"/>
      <c r="BJ747" s="28"/>
      <c r="BK747" s="28"/>
      <c r="BL747" s="28"/>
      <c r="BM747" s="28"/>
      <c r="BN747" s="28"/>
      <c r="BO747" s="28"/>
      <c r="BP747" s="28"/>
      <c r="BQ747" s="28"/>
      <c r="BR747" s="28"/>
      <c r="BS747" s="28"/>
      <c r="BT747" s="28"/>
      <c r="BU747" s="28"/>
      <c r="BV747" s="28"/>
      <c r="BW747" s="28"/>
      <c r="BX747" s="28"/>
      <c r="BY747" s="28"/>
      <c r="BZ747" s="28"/>
      <c r="CA747" s="28"/>
      <c r="CB747" s="28"/>
      <c r="CC747" s="28"/>
      <c r="CD747" s="28"/>
      <c r="CE747" s="28"/>
      <c r="CF747" s="28"/>
      <c r="CG747" s="28"/>
    </row>
    <row r="748" spans="1:85" ht="12.75" x14ac:dyDescent="0.2">
      <c r="A748" s="28"/>
      <c r="B748" s="28"/>
      <c r="C748" s="28"/>
      <c r="D748" s="28"/>
      <c r="E748" s="28"/>
      <c r="F748" s="28"/>
      <c r="G748" s="28"/>
      <c r="H748" s="28"/>
      <c r="I748" s="28"/>
      <c r="J748" s="28"/>
      <c r="K748" s="36"/>
      <c r="L748" s="28"/>
      <c r="M748" s="28"/>
      <c r="N748" s="28"/>
      <c r="O748" s="28"/>
      <c r="P748" s="28"/>
      <c r="Q748" s="36"/>
      <c r="R748" s="36"/>
      <c r="S748" s="36"/>
      <c r="T748" s="36"/>
      <c r="U748" s="36"/>
      <c r="V748" s="36"/>
      <c r="W748" s="36"/>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c r="BW748" s="28"/>
      <c r="BX748" s="28"/>
      <c r="BY748" s="28"/>
      <c r="BZ748" s="28"/>
      <c r="CA748" s="28"/>
      <c r="CB748" s="28"/>
      <c r="CC748" s="28"/>
      <c r="CD748" s="28"/>
      <c r="CE748" s="28"/>
      <c r="CF748" s="28"/>
      <c r="CG748" s="28"/>
    </row>
    <row r="749" spans="1:85" ht="12.75" x14ac:dyDescent="0.2">
      <c r="A749" s="28"/>
      <c r="B749" s="28"/>
      <c r="C749" s="28"/>
      <c r="D749" s="28"/>
      <c r="E749" s="28"/>
      <c r="F749" s="28"/>
      <c r="G749" s="28"/>
      <c r="H749" s="28"/>
      <c r="I749" s="28"/>
      <c r="J749" s="28"/>
      <c r="K749" s="36"/>
      <c r="L749" s="28"/>
      <c r="M749" s="28"/>
      <c r="N749" s="28"/>
      <c r="O749" s="28"/>
      <c r="P749" s="28"/>
      <c r="Q749" s="36"/>
      <c r="R749" s="36"/>
      <c r="S749" s="36"/>
      <c r="T749" s="36"/>
      <c r="U749" s="36"/>
      <c r="V749" s="36"/>
      <c r="W749" s="36"/>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c r="BE749" s="28"/>
      <c r="BF749" s="28"/>
      <c r="BG749" s="28"/>
      <c r="BH749" s="28"/>
      <c r="BI749" s="28"/>
      <c r="BJ749" s="28"/>
      <c r="BK749" s="28"/>
      <c r="BL749" s="28"/>
      <c r="BM749" s="28"/>
      <c r="BN749" s="28"/>
      <c r="BO749" s="28"/>
      <c r="BP749" s="28"/>
      <c r="BQ749" s="28"/>
      <c r="BR749" s="28"/>
      <c r="BS749" s="28"/>
      <c r="BT749" s="28"/>
      <c r="BU749" s="28"/>
      <c r="BV749" s="28"/>
      <c r="BW749" s="28"/>
      <c r="BX749" s="28"/>
      <c r="BY749" s="28"/>
      <c r="BZ749" s="28"/>
      <c r="CA749" s="28"/>
      <c r="CB749" s="28"/>
      <c r="CC749" s="28"/>
      <c r="CD749" s="28"/>
      <c r="CE749" s="28"/>
      <c r="CF749" s="28"/>
      <c r="CG749" s="28"/>
    </row>
    <row r="750" spans="1:85" ht="12.75" x14ac:dyDescent="0.2">
      <c r="A750" s="28"/>
      <c r="B750" s="28"/>
      <c r="C750" s="28"/>
      <c r="D750" s="28"/>
      <c r="E750" s="28"/>
      <c r="F750" s="28"/>
      <c r="G750" s="28"/>
      <c r="H750" s="28"/>
      <c r="I750" s="28"/>
      <c r="J750" s="28"/>
      <c r="K750" s="36"/>
      <c r="L750" s="28"/>
      <c r="M750" s="28"/>
      <c r="N750" s="28"/>
      <c r="O750" s="28"/>
      <c r="P750" s="28"/>
      <c r="Q750" s="36"/>
      <c r="R750" s="36"/>
      <c r="S750" s="36"/>
      <c r="T750" s="36"/>
      <c r="U750" s="36"/>
      <c r="V750" s="36"/>
      <c r="W750" s="36"/>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c r="BW750" s="28"/>
      <c r="BX750" s="28"/>
      <c r="BY750" s="28"/>
      <c r="BZ750" s="28"/>
      <c r="CA750" s="28"/>
      <c r="CB750" s="28"/>
      <c r="CC750" s="28"/>
      <c r="CD750" s="28"/>
      <c r="CE750" s="28"/>
      <c r="CF750" s="28"/>
      <c r="CG750" s="28"/>
    </row>
    <row r="751" spans="1:85" ht="12.75" x14ac:dyDescent="0.2">
      <c r="A751" s="28"/>
      <c r="B751" s="28"/>
      <c r="C751" s="28"/>
      <c r="D751" s="28"/>
      <c r="E751" s="28"/>
      <c r="F751" s="28"/>
      <c r="G751" s="28"/>
      <c r="H751" s="28"/>
      <c r="I751" s="28"/>
      <c r="J751" s="28"/>
      <c r="K751" s="36"/>
      <c r="L751" s="28"/>
      <c r="M751" s="28"/>
      <c r="N751" s="28"/>
      <c r="O751" s="28"/>
      <c r="P751" s="28"/>
      <c r="Q751" s="36"/>
      <c r="R751" s="36"/>
      <c r="S751" s="36"/>
      <c r="T751" s="36"/>
      <c r="U751" s="36"/>
      <c r="V751" s="36"/>
      <c r="W751" s="36"/>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c r="BE751" s="28"/>
      <c r="BF751" s="28"/>
      <c r="BG751" s="28"/>
      <c r="BH751" s="28"/>
      <c r="BI751" s="28"/>
      <c r="BJ751" s="28"/>
      <c r="BK751" s="28"/>
      <c r="BL751" s="28"/>
      <c r="BM751" s="28"/>
      <c r="BN751" s="28"/>
      <c r="BO751" s="28"/>
      <c r="BP751" s="28"/>
      <c r="BQ751" s="28"/>
      <c r="BR751" s="28"/>
      <c r="BS751" s="28"/>
      <c r="BT751" s="28"/>
      <c r="BU751" s="28"/>
      <c r="BV751" s="28"/>
      <c r="BW751" s="28"/>
      <c r="BX751" s="28"/>
      <c r="BY751" s="28"/>
      <c r="BZ751" s="28"/>
      <c r="CA751" s="28"/>
      <c r="CB751" s="28"/>
      <c r="CC751" s="28"/>
      <c r="CD751" s="28"/>
      <c r="CE751" s="28"/>
      <c r="CF751" s="28"/>
      <c r="CG751" s="28"/>
    </row>
    <row r="752" spans="1:85" ht="12.75" x14ac:dyDescent="0.2">
      <c r="A752" s="28"/>
      <c r="B752" s="28"/>
      <c r="C752" s="28"/>
      <c r="D752" s="28"/>
      <c r="E752" s="28"/>
      <c r="F752" s="28"/>
      <c r="G752" s="28"/>
      <c r="H752" s="28"/>
      <c r="I752" s="28"/>
      <c r="J752" s="28"/>
      <c r="K752" s="36"/>
      <c r="L752" s="28"/>
      <c r="M752" s="28"/>
      <c r="N752" s="28"/>
      <c r="O752" s="28"/>
      <c r="P752" s="28"/>
      <c r="Q752" s="36"/>
      <c r="R752" s="36"/>
      <c r="S752" s="36"/>
      <c r="T752" s="36"/>
      <c r="U752" s="36"/>
      <c r="V752" s="36"/>
      <c r="W752" s="36"/>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c r="BW752" s="28"/>
      <c r="BX752" s="28"/>
      <c r="BY752" s="28"/>
      <c r="BZ752" s="28"/>
      <c r="CA752" s="28"/>
      <c r="CB752" s="28"/>
      <c r="CC752" s="28"/>
      <c r="CD752" s="28"/>
      <c r="CE752" s="28"/>
      <c r="CF752" s="28"/>
      <c r="CG752" s="28"/>
    </row>
    <row r="753" spans="1:85" ht="12.75" x14ac:dyDescent="0.2">
      <c r="A753" s="28"/>
      <c r="B753" s="28"/>
      <c r="C753" s="28"/>
      <c r="D753" s="28"/>
      <c r="E753" s="28"/>
      <c r="F753" s="28"/>
      <c r="G753" s="28"/>
      <c r="H753" s="28"/>
      <c r="I753" s="28"/>
      <c r="J753" s="28"/>
      <c r="K753" s="36"/>
      <c r="L753" s="28"/>
      <c r="M753" s="28"/>
      <c r="N753" s="28"/>
      <c r="O753" s="28"/>
      <c r="P753" s="28"/>
      <c r="Q753" s="36"/>
      <c r="R753" s="36"/>
      <c r="S753" s="36"/>
      <c r="T753" s="36"/>
      <c r="U753" s="36"/>
      <c r="V753" s="36"/>
      <c r="W753" s="36"/>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c r="BE753" s="28"/>
      <c r="BF753" s="28"/>
      <c r="BG753" s="28"/>
      <c r="BH753" s="28"/>
      <c r="BI753" s="28"/>
      <c r="BJ753" s="28"/>
      <c r="BK753" s="28"/>
      <c r="BL753" s="28"/>
      <c r="BM753" s="28"/>
      <c r="BN753" s="28"/>
      <c r="BO753" s="28"/>
      <c r="BP753" s="28"/>
      <c r="BQ753" s="28"/>
      <c r="BR753" s="28"/>
      <c r="BS753" s="28"/>
      <c r="BT753" s="28"/>
      <c r="BU753" s="28"/>
      <c r="BV753" s="28"/>
      <c r="BW753" s="28"/>
      <c r="BX753" s="28"/>
      <c r="BY753" s="28"/>
      <c r="BZ753" s="28"/>
      <c r="CA753" s="28"/>
      <c r="CB753" s="28"/>
      <c r="CC753" s="28"/>
      <c r="CD753" s="28"/>
      <c r="CE753" s="28"/>
      <c r="CF753" s="28"/>
      <c r="CG753" s="28"/>
    </row>
    <row r="754" spans="1:85" ht="12.75" x14ac:dyDescent="0.2">
      <c r="A754" s="28"/>
      <c r="B754" s="28"/>
      <c r="C754" s="28"/>
      <c r="D754" s="28"/>
      <c r="E754" s="28"/>
      <c r="F754" s="28"/>
      <c r="G754" s="28"/>
      <c r="H754" s="28"/>
      <c r="I754" s="28"/>
      <c r="J754" s="28"/>
      <c r="K754" s="36"/>
      <c r="L754" s="28"/>
      <c r="M754" s="28"/>
      <c r="N754" s="28"/>
      <c r="O754" s="28"/>
      <c r="P754" s="28"/>
      <c r="Q754" s="36"/>
      <c r="R754" s="36"/>
      <c r="S754" s="36"/>
      <c r="T754" s="36"/>
      <c r="U754" s="36"/>
      <c r="V754" s="36"/>
      <c r="W754" s="36"/>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c r="BW754" s="28"/>
      <c r="BX754" s="28"/>
      <c r="BY754" s="28"/>
      <c r="BZ754" s="28"/>
      <c r="CA754" s="28"/>
      <c r="CB754" s="28"/>
      <c r="CC754" s="28"/>
      <c r="CD754" s="28"/>
      <c r="CE754" s="28"/>
      <c r="CF754" s="28"/>
      <c r="CG754" s="28"/>
    </row>
    <row r="755" spans="1:85" ht="12.75" x14ac:dyDescent="0.2">
      <c r="A755" s="28"/>
      <c r="B755" s="28"/>
      <c r="C755" s="28"/>
      <c r="D755" s="28"/>
      <c r="E755" s="28"/>
      <c r="F755" s="28"/>
      <c r="G755" s="28"/>
      <c r="H755" s="28"/>
      <c r="I755" s="28"/>
      <c r="J755" s="28"/>
      <c r="K755" s="36"/>
      <c r="L755" s="28"/>
      <c r="M755" s="28"/>
      <c r="N755" s="28"/>
      <c r="O755" s="28"/>
      <c r="P755" s="28"/>
      <c r="Q755" s="36"/>
      <c r="R755" s="36"/>
      <c r="S755" s="36"/>
      <c r="T755" s="36"/>
      <c r="U755" s="36"/>
      <c r="V755" s="36"/>
      <c r="W755" s="36"/>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c r="BE755" s="28"/>
      <c r="BF755" s="28"/>
      <c r="BG755" s="28"/>
      <c r="BH755" s="28"/>
      <c r="BI755" s="28"/>
      <c r="BJ755" s="28"/>
      <c r="BK755" s="28"/>
      <c r="BL755" s="28"/>
      <c r="BM755" s="28"/>
      <c r="BN755" s="28"/>
      <c r="BO755" s="28"/>
      <c r="BP755" s="28"/>
      <c r="BQ755" s="28"/>
      <c r="BR755" s="28"/>
      <c r="BS755" s="28"/>
      <c r="BT755" s="28"/>
      <c r="BU755" s="28"/>
      <c r="BV755" s="28"/>
      <c r="BW755" s="28"/>
      <c r="BX755" s="28"/>
      <c r="BY755" s="28"/>
      <c r="BZ755" s="28"/>
      <c r="CA755" s="28"/>
      <c r="CB755" s="28"/>
      <c r="CC755" s="28"/>
      <c r="CD755" s="28"/>
      <c r="CE755" s="28"/>
      <c r="CF755" s="28"/>
      <c r="CG755" s="28"/>
    </row>
    <row r="756" spans="1:85" ht="12.75" x14ac:dyDescent="0.2">
      <c r="A756" s="28"/>
      <c r="B756" s="28"/>
      <c r="C756" s="28"/>
      <c r="D756" s="28"/>
      <c r="E756" s="28"/>
      <c r="F756" s="28"/>
      <c r="G756" s="28"/>
      <c r="H756" s="28"/>
      <c r="I756" s="28"/>
      <c r="J756" s="28"/>
      <c r="K756" s="36"/>
      <c r="L756" s="28"/>
      <c r="M756" s="28"/>
      <c r="N756" s="28"/>
      <c r="O756" s="28"/>
      <c r="P756" s="28"/>
      <c r="Q756" s="36"/>
      <c r="R756" s="36"/>
      <c r="S756" s="36"/>
      <c r="T756" s="36"/>
      <c r="U756" s="36"/>
      <c r="V756" s="36"/>
      <c r="W756" s="36"/>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c r="BW756" s="28"/>
      <c r="BX756" s="28"/>
      <c r="BY756" s="28"/>
      <c r="BZ756" s="28"/>
      <c r="CA756" s="28"/>
      <c r="CB756" s="28"/>
      <c r="CC756" s="28"/>
      <c r="CD756" s="28"/>
      <c r="CE756" s="28"/>
      <c r="CF756" s="28"/>
      <c r="CG756" s="28"/>
    </row>
    <row r="757" spans="1:85" ht="12.75" x14ac:dyDescent="0.2">
      <c r="A757" s="28"/>
      <c r="B757" s="28"/>
      <c r="C757" s="28"/>
      <c r="D757" s="28"/>
      <c r="E757" s="28"/>
      <c r="F757" s="28"/>
      <c r="G757" s="28"/>
      <c r="H757" s="28"/>
      <c r="I757" s="28"/>
      <c r="J757" s="28"/>
      <c r="K757" s="36"/>
      <c r="L757" s="28"/>
      <c r="M757" s="28"/>
      <c r="N757" s="28"/>
      <c r="O757" s="28"/>
      <c r="P757" s="28"/>
      <c r="Q757" s="36"/>
      <c r="R757" s="36"/>
      <c r="S757" s="36"/>
      <c r="T757" s="36"/>
      <c r="U757" s="36"/>
      <c r="V757" s="36"/>
      <c r="W757" s="36"/>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c r="BE757" s="28"/>
      <c r="BF757" s="28"/>
      <c r="BG757" s="28"/>
      <c r="BH757" s="28"/>
      <c r="BI757" s="28"/>
      <c r="BJ757" s="28"/>
      <c r="BK757" s="28"/>
      <c r="BL757" s="28"/>
      <c r="BM757" s="28"/>
      <c r="BN757" s="28"/>
      <c r="BO757" s="28"/>
      <c r="BP757" s="28"/>
      <c r="BQ757" s="28"/>
      <c r="BR757" s="28"/>
      <c r="BS757" s="28"/>
      <c r="BT757" s="28"/>
      <c r="BU757" s="28"/>
      <c r="BV757" s="28"/>
      <c r="BW757" s="28"/>
      <c r="BX757" s="28"/>
      <c r="BY757" s="28"/>
      <c r="BZ757" s="28"/>
      <c r="CA757" s="28"/>
      <c r="CB757" s="28"/>
      <c r="CC757" s="28"/>
      <c r="CD757" s="28"/>
      <c r="CE757" s="28"/>
      <c r="CF757" s="28"/>
      <c r="CG757" s="28"/>
    </row>
    <row r="758" spans="1:85" ht="12.75" x14ac:dyDescent="0.2">
      <c r="A758" s="28"/>
      <c r="B758" s="28"/>
      <c r="C758" s="28"/>
      <c r="D758" s="28"/>
      <c r="E758" s="28"/>
      <c r="F758" s="28"/>
      <c r="G758" s="28"/>
      <c r="H758" s="28"/>
      <c r="I758" s="28"/>
      <c r="J758" s="28"/>
      <c r="K758" s="36"/>
      <c r="L758" s="28"/>
      <c r="M758" s="28"/>
      <c r="N758" s="28"/>
      <c r="O758" s="28"/>
      <c r="P758" s="28"/>
      <c r="Q758" s="36"/>
      <c r="R758" s="36"/>
      <c r="S758" s="36"/>
      <c r="T758" s="36"/>
      <c r="U758" s="36"/>
      <c r="V758" s="36"/>
      <c r="W758" s="36"/>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c r="BW758" s="28"/>
      <c r="BX758" s="28"/>
      <c r="BY758" s="28"/>
      <c r="BZ758" s="28"/>
      <c r="CA758" s="28"/>
      <c r="CB758" s="28"/>
      <c r="CC758" s="28"/>
      <c r="CD758" s="28"/>
      <c r="CE758" s="28"/>
      <c r="CF758" s="28"/>
      <c r="CG758" s="28"/>
    </row>
    <row r="759" spans="1:85" ht="12.75" x14ac:dyDescent="0.2">
      <c r="A759" s="28"/>
      <c r="B759" s="28"/>
      <c r="C759" s="28"/>
      <c r="D759" s="28"/>
      <c r="E759" s="28"/>
      <c r="F759" s="28"/>
      <c r="G759" s="28"/>
      <c r="H759" s="28"/>
      <c r="I759" s="28"/>
      <c r="J759" s="28"/>
      <c r="K759" s="36"/>
      <c r="L759" s="28"/>
      <c r="M759" s="28"/>
      <c r="N759" s="28"/>
      <c r="O759" s="28"/>
      <c r="P759" s="28"/>
      <c r="Q759" s="36"/>
      <c r="R759" s="36"/>
      <c r="S759" s="36"/>
      <c r="T759" s="36"/>
      <c r="U759" s="36"/>
      <c r="V759" s="36"/>
      <c r="W759" s="36"/>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c r="BE759" s="28"/>
      <c r="BF759" s="28"/>
      <c r="BG759" s="28"/>
      <c r="BH759" s="28"/>
      <c r="BI759" s="28"/>
      <c r="BJ759" s="28"/>
      <c r="BK759" s="28"/>
      <c r="BL759" s="28"/>
      <c r="BM759" s="28"/>
      <c r="BN759" s="28"/>
      <c r="BO759" s="28"/>
      <c r="BP759" s="28"/>
      <c r="BQ759" s="28"/>
      <c r="BR759" s="28"/>
      <c r="BS759" s="28"/>
      <c r="BT759" s="28"/>
      <c r="BU759" s="28"/>
      <c r="BV759" s="28"/>
      <c r="BW759" s="28"/>
      <c r="BX759" s="28"/>
      <c r="BY759" s="28"/>
      <c r="BZ759" s="28"/>
      <c r="CA759" s="28"/>
      <c r="CB759" s="28"/>
      <c r="CC759" s="28"/>
      <c r="CD759" s="28"/>
      <c r="CE759" s="28"/>
      <c r="CF759" s="28"/>
      <c r="CG759" s="28"/>
    </row>
    <row r="760" spans="1:85" ht="12.75" x14ac:dyDescent="0.2">
      <c r="A760" s="28"/>
      <c r="B760" s="28"/>
      <c r="C760" s="28"/>
      <c r="D760" s="28"/>
      <c r="E760" s="28"/>
      <c r="F760" s="28"/>
      <c r="G760" s="28"/>
      <c r="H760" s="28"/>
      <c r="I760" s="28"/>
      <c r="J760" s="28"/>
      <c r="K760" s="36"/>
      <c r="L760" s="28"/>
      <c r="M760" s="28"/>
      <c r="N760" s="28"/>
      <c r="O760" s="28"/>
      <c r="P760" s="28"/>
      <c r="Q760" s="36"/>
      <c r="R760" s="36"/>
      <c r="S760" s="36"/>
      <c r="T760" s="36"/>
      <c r="U760" s="36"/>
      <c r="V760" s="36"/>
      <c r="W760" s="36"/>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c r="BW760" s="28"/>
      <c r="BX760" s="28"/>
      <c r="BY760" s="28"/>
      <c r="BZ760" s="28"/>
      <c r="CA760" s="28"/>
      <c r="CB760" s="28"/>
      <c r="CC760" s="28"/>
      <c r="CD760" s="28"/>
      <c r="CE760" s="28"/>
      <c r="CF760" s="28"/>
      <c r="CG760" s="28"/>
    </row>
    <row r="761" spans="1:85" ht="12.75" x14ac:dyDescent="0.2">
      <c r="A761" s="28"/>
      <c r="B761" s="28"/>
      <c r="C761" s="28"/>
      <c r="D761" s="28"/>
      <c r="E761" s="28"/>
      <c r="F761" s="28"/>
      <c r="G761" s="28"/>
      <c r="H761" s="28"/>
      <c r="I761" s="28"/>
      <c r="J761" s="28"/>
      <c r="K761" s="36"/>
      <c r="L761" s="28"/>
      <c r="M761" s="28"/>
      <c r="N761" s="28"/>
      <c r="O761" s="28"/>
      <c r="P761" s="28"/>
      <c r="Q761" s="36"/>
      <c r="R761" s="36"/>
      <c r="S761" s="36"/>
      <c r="T761" s="36"/>
      <c r="U761" s="36"/>
      <c r="V761" s="36"/>
      <c r="W761" s="36"/>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c r="BE761" s="28"/>
      <c r="BF761" s="28"/>
      <c r="BG761" s="28"/>
      <c r="BH761" s="28"/>
      <c r="BI761" s="28"/>
      <c r="BJ761" s="28"/>
      <c r="BK761" s="28"/>
      <c r="BL761" s="28"/>
      <c r="BM761" s="28"/>
      <c r="BN761" s="28"/>
      <c r="BO761" s="28"/>
      <c r="BP761" s="28"/>
      <c r="BQ761" s="28"/>
      <c r="BR761" s="28"/>
      <c r="BS761" s="28"/>
      <c r="BT761" s="28"/>
      <c r="BU761" s="28"/>
      <c r="BV761" s="28"/>
      <c r="BW761" s="28"/>
      <c r="BX761" s="28"/>
      <c r="BY761" s="28"/>
      <c r="BZ761" s="28"/>
      <c r="CA761" s="28"/>
      <c r="CB761" s="28"/>
      <c r="CC761" s="28"/>
      <c r="CD761" s="28"/>
      <c r="CE761" s="28"/>
      <c r="CF761" s="28"/>
      <c r="CG761" s="28"/>
    </row>
    <row r="762" spans="1:85" ht="12.75" x14ac:dyDescent="0.2">
      <c r="A762" s="28"/>
      <c r="B762" s="28"/>
      <c r="C762" s="28"/>
      <c r="D762" s="28"/>
      <c r="E762" s="28"/>
      <c r="F762" s="28"/>
      <c r="G762" s="28"/>
      <c r="H762" s="28"/>
      <c r="I762" s="28"/>
      <c r="J762" s="28"/>
      <c r="K762" s="36"/>
      <c r="L762" s="28"/>
      <c r="M762" s="28"/>
      <c r="N762" s="28"/>
      <c r="O762" s="28"/>
      <c r="P762" s="28"/>
      <c r="Q762" s="36"/>
      <c r="R762" s="36"/>
      <c r="S762" s="36"/>
      <c r="T762" s="36"/>
      <c r="U762" s="36"/>
      <c r="V762" s="36"/>
      <c r="W762" s="36"/>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c r="BW762" s="28"/>
      <c r="BX762" s="28"/>
      <c r="BY762" s="28"/>
      <c r="BZ762" s="28"/>
      <c r="CA762" s="28"/>
      <c r="CB762" s="28"/>
      <c r="CC762" s="28"/>
      <c r="CD762" s="28"/>
      <c r="CE762" s="28"/>
      <c r="CF762" s="28"/>
      <c r="CG762" s="28"/>
    </row>
    <row r="763" spans="1:85" ht="12.75" x14ac:dyDescent="0.2">
      <c r="A763" s="28"/>
      <c r="B763" s="28"/>
      <c r="C763" s="28"/>
      <c r="D763" s="28"/>
      <c r="E763" s="28"/>
      <c r="F763" s="28"/>
      <c r="G763" s="28"/>
      <c r="H763" s="28"/>
      <c r="I763" s="28"/>
      <c r="J763" s="28"/>
      <c r="K763" s="36"/>
      <c r="L763" s="28"/>
      <c r="M763" s="28"/>
      <c r="N763" s="28"/>
      <c r="O763" s="28"/>
      <c r="P763" s="28"/>
      <c r="Q763" s="36"/>
      <c r="R763" s="36"/>
      <c r="S763" s="36"/>
      <c r="T763" s="36"/>
      <c r="U763" s="36"/>
      <c r="V763" s="36"/>
      <c r="W763" s="36"/>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c r="BE763" s="28"/>
      <c r="BF763" s="28"/>
      <c r="BG763" s="28"/>
      <c r="BH763" s="28"/>
      <c r="BI763" s="28"/>
      <c r="BJ763" s="28"/>
      <c r="BK763" s="28"/>
      <c r="BL763" s="28"/>
      <c r="BM763" s="28"/>
      <c r="BN763" s="28"/>
      <c r="BO763" s="28"/>
      <c r="BP763" s="28"/>
      <c r="BQ763" s="28"/>
      <c r="BR763" s="28"/>
      <c r="BS763" s="28"/>
      <c r="BT763" s="28"/>
      <c r="BU763" s="28"/>
      <c r="BV763" s="28"/>
      <c r="BW763" s="28"/>
      <c r="BX763" s="28"/>
      <c r="BY763" s="28"/>
      <c r="BZ763" s="28"/>
      <c r="CA763" s="28"/>
      <c r="CB763" s="28"/>
      <c r="CC763" s="28"/>
      <c r="CD763" s="28"/>
      <c r="CE763" s="28"/>
      <c r="CF763" s="28"/>
      <c r="CG763" s="28"/>
    </row>
    <row r="764" spans="1:85" ht="12.75" x14ac:dyDescent="0.2">
      <c r="A764" s="28"/>
      <c r="B764" s="28"/>
      <c r="C764" s="28"/>
      <c r="D764" s="28"/>
      <c r="E764" s="28"/>
      <c r="F764" s="28"/>
      <c r="G764" s="28"/>
      <c r="H764" s="28"/>
      <c r="I764" s="28"/>
      <c r="J764" s="28"/>
      <c r="K764" s="36"/>
      <c r="L764" s="28"/>
      <c r="M764" s="28"/>
      <c r="N764" s="28"/>
      <c r="O764" s="28"/>
      <c r="P764" s="28"/>
      <c r="Q764" s="36"/>
      <c r="R764" s="36"/>
      <c r="S764" s="36"/>
      <c r="T764" s="36"/>
      <c r="U764" s="36"/>
      <c r="V764" s="36"/>
      <c r="W764" s="36"/>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c r="BW764" s="28"/>
      <c r="BX764" s="28"/>
      <c r="BY764" s="28"/>
      <c r="BZ764" s="28"/>
      <c r="CA764" s="28"/>
      <c r="CB764" s="28"/>
      <c r="CC764" s="28"/>
      <c r="CD764" s="28"/>
      <c r="CE764" s="28"/>
      <c r="CF764" s="28"/>
      <c r="CG764" s="28"/>
    </row>
    <row r="765" spans="1:85" ht="12.75" x14ac:dyDescent="0.2">
      <c r="A765" s="28"/>
      <c r="B765" s="28"/>
      <c r="C765" s="28"/>
      <c r="D765" s="28"/>
      <c r="E765" s="28"/>
      <c r="F765" s="28"/>
      <c r="G765" s="28"/>
      <c r="H765" s="28"/>
      <c r="I765" s="28"/>
      <c r="J765" s="28"/>
      <c r="K765" s="36"/>
      <c r="L765" s="28"/>
      <c r="M765" s="28"/>
      <c r="N765" s="28"/>
      <c r="O765" s="28"/>
      <c r="P765" s="28"/>
      <c r="Q765" s="36"/>
      <c r="R765" s="36"/>
      <c r="S765" s="36"/>
      <c r="T765" s="36"/>
      <c r="U765" s="36"/>
      <c r="V765" s="36"/>
      <c r="W765" s="36"/>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c r="BE765" s="28"/>
      <c r="BF765" s="28"/>
      <c r="BG765" s="28"/>
      <c r="BH765" s="28"/>
      <c r="BI765" s="28"/>
      <c r="BJ765" s="28"/>
      <c r="BK765" s="28"/>
      <c r="BL765" s="28"/>
      <c r="BM765" s="28"/>
      <c r="BN765" s="28"/>
      <c r="BO765" s="28"/>
      <c r="BP765" s="28"/>
      <c r="BQ765" s="28"/>
      <c r="BR765" s="28"/>
      <c r="BS765" s="28"/>
      <c r="BT765" s="28"/>
      <c r="BU765" s="28"/>
      <c r="BV765" s="28"/>
      <c r="BW765" s="28"/>
      <c r="BX765" s="28"/>
      <c r="BY765" s="28"/>
      <c r="BZ765" s="28"/>
      <c r="CA765" s="28"/>
      <c r="CB765" s="28"/>
      <c r="CC765" s="28"/>
      <c r="CD765" s="28"/>
      <c r="CE765" s="28"/>
      <c r="CF765" s="28"/>
      <c r="CG765" s="28"/>
    </row>
    <row r="766" spans="1:85" ht="12.75" x14ac:dyDescent="0.2">
      <c r="A766" s="28"/>
      <c r="B766" s="28"/>
      <c r="C766" s="28"/>
      <c r="D766" s="28"/>
      <c r="E766" s="28"/>
      <c r="F766" s="28"/>
      <c r="G766" s="28"/>
      <c r="H766" s="28"/>
      <c r="I766" s="28"/>
      <c r="J766" s="28"/>
      <c r="K766" s="36"/>
      <c r="L766" s="28"/>
      <c r="M766" s="28"/>
      <c r="N766" s="28"/>
      <c r="O766" s="28"/>
      <c r="P766" s="28"/>
      <c r="Q766" s="36"/>
      <c r="R766" s="36"/>
      <c r="S766" s="36"/>
      <c r="T766" s="36"/>
      <c r="U766" s="36"/>
      <c r="V766" s="36"/>
      <c r="W766" s="36"/>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c r="BW766" s="28"/>
      <c r="BX766" s="28"/>
      <c r="BY766" s="28"/>
      <c r="BZ766" s="28"/>
      <c r="CA766" s="28"/>
      <c r="CB766" s="28"/>
      <c r="CC766" s="28"/>
      <c r="CD766" s="28"/>
      <c r="CE766" s="28"/>
      <c r="CF766" s="28"/>
      <c r="CG766" s="28"/>
    </row>
    <row r="767" spans="1:85" ht="12.75" x14ac:dyDescent="0.2">
      <c r="A767" s="28"/>
      <c r="B767" s="28"/>
      <c r="C767" s="28"/>
      <c r="D767" s="28"/>
      <c r="E767" s="28"/>
      <c r="F767" s="28"/>
      <c r="G767" s="28"/>
      <c r="H767" s="28"/>
      <c r="I767" s="28"/>
      <c r="J767" s="28"/>
      <c r="K767" s="36"/>
      <c r="L767" s="28"/>
      <c r="M767" s="28"/>
      <c r="N767" s="28"/>
      <c r="O767" s="28"/>
      <c r="P767" s="28"/>
      <c r="Q767" s="36"/>
      <c r="R767" s="36"/>
      <c r="S767" s="36"/>
      <c r="T767" s="36"/>
      <c r="U767" s="36"/>
      <c r="V767" s="36"/>
      <c r="W767" s="36"/>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c r="BE767" s="28"/>
      <c r="BF767" s="28"/>
      <c r="BG767" s="28"/>
      <c r="BH767" s="28"/>
      <c r="BI767" s="28"/>
      <c r="BJ767" s="28"/>
      <c r="BK767" s="28"/>
      <c r="BL767" s="28"/>
      <c r="BM767" s="28"/>
      <c r="BN767" s="28"/>
      <c r="BO767" s="28"/>
      <c r="BP767" s="28"/>
      <c r="BQ767" s="28"/>
      <c r="BR767" s="28"/>
      <c r="BS767" s="28"/>
      <c r="BT767" s="28"/>
      <c r="BU767" s="28"/>
      <c r="BV767" s="28"/>
      <c r="BW767" s="28"/>
      <c r="BX767" s="28"/>
      <c r="BY767" s="28"/>
      <c r="BZ767" s="28"/>
      <c r="CA767" s="28"/>
      <c r="CB767" s="28"/>
      <c r="CC767" s="28"/>
      <c r="CD767" s="28"/>
      <c r="CE767" s="28"/>
      <c r="CF767" s="28"/>
      <c r="CG767" s="28"/>
    </row>
    <row r="768" spans="1:85" ht="12.75" x14ac:dyDescent="0.2">
      <c r="A768" s="28"/>
      <c r="B768" s="28"/>
      <c r="C768" s="28"/>
      <c r="D768" s="28"/>
      <c r="E768" s="28"/>
      <c r="F768" s="28"/>
      <c r="G768" s="28"/>
      <c r="H768" s="28"/>
      <c r="I768" s="28"/>
      <c r="J768" s="28"/>
      <c r="K768" s="36"/>
      <c r="L768" s="28"/>
      <c r="M768" s="28"/>
      <c r="N768" s="28"/>
      <c r="O768" s="28"/>
      <c r="P768" s="28"/>
      <c r="Q768" s="36"/>
      <c r="R768" s="36"/>
      <c r="S768" s="36"/>
      <c r="T768" s="36"/>
      <c r="U768" s="36"/>
      <c r="V768" s="36"/>
      <c r="W768" s="36"/>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c r="BW768" s="28"/>
      <c r="BX768" s="28"/>
      <c r="BY768" s="28"/>
      <c r="BZ768" s="28"/>
      <c r="CA768" s="28"/>
      <c r="CB768" s="28"/>
      <c r="CC768" s="28"/>
      <c r="CD768" s="28"/>
      <c r="CE768" s="28"/>
      <c r="CF768" s="28"/>
      <c r="CG768" s="28"/>
    </row>
    <row r="769" spans="1:85" ht="12.75" x14ac:dyDescent="0.2">
      <c r="A769" s="28"/>
      <c r="B769" s="28"/>
      <c r="C769" s="28"/>
      <c r="D769" s="28"/>
      <c r="E769" s="28"/>
      <c r="F769" s="28"/>
      <c r="G769" s="28"/>
      <c r="H769" s="28"/>
      <c r="I769" s="28"/>
      <c r="J769" s="28"/>
      <c r="K769" s="36"/>
      <c r="L769" s="28"/>
      <c r="M769" s="28"/>
      <c r="N769" s="28"/>
      <c r="O769" s="28"/>
      <c r="P769" s="28"/>
      <c r="Q769" s="36"/>
      <c r="R769" s="36"/>
      <c r="S769" s="36"/>
      <c r="T769" s="36"/>
      <c r="U769" s="36"/>
      <c r="V769" s="36"/>
      <c r="W769" s="36"/>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c r="BE769" s="28"/>
      <c r="BF769" s="28"/>
      <c r="BG769" s="28"/>
      <c r="BH769" s="28"/>
      <c r="BI769" s="28"/>
      <c r="BJ769" s="28"/>
      <c r="BK769" s="28"/>
      <c r="BL769" s="28"/>
      <c r="BM769" s="28"/>
      <c r="BN769" s="28"/>
      <c r="BO769" s="28"/>
      <c r="BP769" s="28"/>
      <c r="BQ769" s="28"/>
      <c r="BR769" s="28"/>
      <c r="BS769" s="28"/>
      <c r="BT769" s="28"/>
      <c r="BU769" s="28"/>
      <c r="BV769" s="28"/>
      <c r="BW769" s="28"/>
      <c r="BX769" s="28"/>
      <c r="BY769" s="28"/>
      <c r="BZ769" s="28"/>
      <c r="CA769" s="28"/>
      <c r="CB769" s="28"/>
      <c r="CC769" s="28"/>
      <c r="CD769" s="28"/>
      <c r="CE769" s="28"/>
      <c r="CF769" s="28"/>
      <c r="CG769" s="28"/>
    </row>
    <row r="770" spans="1:85" ht="12.75" x14ac:dyDescent="0.2">
      <c r="A770" s="28"/>
      <c r="B770" s="28"/>
      <c r="C770" s="28"/>
      <c r="D770" s="28"/>
      <c r="E770" s="28"/>
      <c r="F770" s="28"/>
      <c r="G770" s="28"/>
      <c r="H770" s="28"/>
      <c r="I770" s="28"/>
      <c r="J770" s="28"/>
      <c r="K770" s="36"/>
      <c r="L770" s="28"/>
      <c r="M770" s="28"/>
      <c r="N770" s="28"/>
      <c r="O770" s="28"/>
      <c r="P770" s="28"/>
      <c r="Q770" s="36"/>
      <c r="R770" s="36"/>
      <c r="S770" s="36"/>
      <c r="T770" s="36"/>
      <c r="U770" s="36"/>
      <c r="V770" s="36"/>
      <c r="W770" s="36"/>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c r="BW770" s="28"/>
      <c r="BX770" s="28"/>
      <c r="BY770" s="28"/>
      <c r="BZ770" s="28"/>
      <c r="CA770" s="28"/>
      <c r="CB770" s="28"/>
      <c r="CC770" s="28"/>
      <c r="CD770" s="28"/>
      <c r="CE770" s="28"/>
      <c r="CF770" s="28"/>
      <c r="CG770" s="28"/>
    </row>
    <row r="771" spans="1:85" ht="12.75" x14ac:dyDescent="0.2">
      <c r="A771" s="28"/>
      <c r="B771" s="28"/>
      <c r="C771" s="28"/>
      <c r="D771" s="28"/>
      <c r="E771" s="28"/>
      <c r="F771" s="28"/>
      <c r="G771" s="28"/>
      <c r="H771" s="28"/>
      <c r="I771" s="28"/>
      <c r="J771" s="28"/>
      <c r="K771" s="36"/>
      <c r="L771" s="28"/>
      <c r="M771" s="28"/>
      <c r="N771" s="28"/>
      <c r="O771" s="28"/>
      <c r="P771" s="28"/>
      <c r="Q771" s="36"/>
      <c r="R771" s="36"/>
      <c r="S771" s="36"/>
      <c r="T771" s="36"/>
      <c r="U771" s="36"/>
      <c r="V771" s="36"/>
      <c r="W771" s="36"/>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c r="BE771" s="28"/>
      <c r="BF771" s="28"/>
      <c r="BG771" s="28"/>
      <c r="BH771" s="28"/>
      <c r="BI771" s="28"/>
      <c r="BJ771" s="28"/>
      <c r="BK771" s="28"/>
      <c r="BL771" s="28"/>
      <c r="BM771" s="28"/>
      <c r="BN771" s="28"/>
      <c r="BO771" s="28"/>
      <c r="BP771" s="28"/>
      <c r="BQ771" s="28"/>
      <c r="BR771" s="28"/>
      <c r="BS771" s="28"/>
      <c r="BT771" s="28"/>
      <c r="BU771" s="28"/>
      <c r="BV771" s="28"/>
      <c r="BW771" s="28"/>
      <c r="BX771" s="28"/>
      <c r="BY771" s="28"/>
      <c r="BZ771" s="28"/>
      <c r="CA771" s="28"/>
      <c r="CB771" s="28"/>
      <c r="CC771" s="28"/>
      <c r="CD771" s="28"/>
      <c r="CE771" s="28"/>
      <c r="CF771" s="28"/>
      <c r="CG771" s="28"/>
    </row>
    <row r="772" spans="1:85" ht="12.75" x14ac:dyDescent="0.2">
      <c r="A772" s="28"/>
      <c r="B772" s="28"/>
      <c r="C772" s="28"/>
      <c r="D772" s="28"/>
      <c r="E772" s="28"/>
      <c r="F772" s="28"/>
      <c r="G772" s="28"/>
      <c r="H772" s="28"/>
      <c r="I772" s="28"/>
      <c r="J772" s="28"/>
      <c r="K772" s="36"/>
      <c r="L772" s="28"/>
      <c r="M772" s="28"/>
      <c r="N772" s="28"/>
      <c r="O772" s="28"/>
      <c r="P772" s="28"/>
      <c r="Q772" s="36"/>
      <c r="R772" s="36"/>
      <c r="S772" s="36"/>
      <c r="T772" s="36"/>
      <c r="U772" s="36"/>
      <c r="V772" s="36"/>
      <c r="W772" s="36"/>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c r="BW772" s="28"/>
      <c r="BX772" s="28"/>
      <c r="BY772" s="28"/>
      <c r="BZ772" s="28"/>
      <c r="CA772" s="28"/>
      <c r="CB772" s="28"/>
      <c r="CC772" s="28"/>
      <c r="CD772" s="28"/>
      <c r="CE772" s="28"/>
      <c r="CF772" s="28"/>
      <c r="CG772" s="28"/>
    </row>
    <row r="773" spans="1:85" ht="12.75" x14ac:dyDescent="0.2">
      <c r="A773" s="28"/>
      <c r="B773" s="28"/>
      <c r="C773" s="28"/>
      <c r="D773" s="28"/>
      <c r="E773" s="28"/>
      <c r="F773" s="28"/>
      <c r="G773" s="28"/>
      <c r="H773" s="28"/>
      <c r="I773" s="28"/>
      <c r="J773" s="28"/>
      <c r="K773" s="36"/>
      <c r="L773" s="28"/>
      <c r="M773" s="28"/>
      <c r="N773" s="28"/>
      <c r="O773" s="28"/>
      <c r="P773" s="28"/>
      <c r="Q773" s="36"/>
      <c r="R773" s="36"/>
      <c r="S773" s="36"/>
      <c r="T773" s="36"/>
      <c r="U773" s="36"/>
      <c r="V773" s="36"/>
      <c r="W773" s="36"/>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28"/>
      <c r="BP773" s="28"/>
      <c r="BQ773" s="28"/>
      <c r="BR773" s="28"/>
      <c r="BS773" s="28"/>
      <c r="BT773" s="28"/>
      <c r="BU773" s="28"/>
      <c r="BV773" s="28"/>
      <c r="BW773" s="28"/>
      <c r="BX773" s="28"/>
      <c r="BY773" s="28"/>
      <c r="BZ773" s="28"/>
      <c r="CA773" s="28"/>
      <c r="CB773" s="28"/>
      <c r="CC773" s="28"/>
      <c r="CD773" s="28"/>
      <c r="CE773" s="28"/>
      <c r="CF773" s="28"/>
      <c r="CG773" s="28"/>
    </row>
    <row r="774" spans="1:85" ht="12.75" x14ac:dyDescent="0.2">
      <c r="A774" s="28"/>
      <c r="B774" s="28"/>
      <c r="C774" s="28"/>
      <c r="D774" s="28"/>
      <c r="E774" s="28"/>
      <c r="F774" s="28"/>
      <c r="G774" s="28"/>
      <c r="H774" s="28"/>
      <c r="I774" s="28"/>
      <c r="J774" s="28"/>
      <c r="K774" s="36"/>
      <c r="L774" s="28"/>
      <c r="M774" s="28"/>
      <c r="N774" s="28"/>
      <c r="O774" s="28"/>
      <c r="P774" s="28"/>
      <c r="Q774" s="36"/>
      <c r="R774" s="36"/>
      <c r="S774" s="36"/>
      <c r="T774" s="36"/>
      <c r="U774" s="36"/>
      <c r="V774" s="36"/>
      <c r="W774" s="36"/>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c r="CA774" s="28"/>
      <c r="CB774" s="28"/>
      <c r="CC774" s="28"/>
      <c r="CD774" s="28"/>
      <c r="CE774" s="28"/>
      <c r="CF774" s="28"/>
      <c r="CG774" s="28"/>
    </row>
    <row r="775" spans="1:85" ht="12.75" x14ac:dyDescent="0.2">
      <c r="A775" s="28"/>
      <c r="B775" s="28"/>
      <c r="C775" s="28"/>
      <c r="D775" s="28"/>
      <c r="E775" s="28"/>
      <c r="F775" s="28"/>
      <c r="G775" s="28"/>
      <c r="H775" s="28"/>
      <c r="I775" s="28"/>
      <c r="J775" s="28"/>
      <c r="K775" s="36"/>
      <c r="L775" s="28"/>
      <c r="M775" s="28"/>
      <c r="N775" s="28"/>
      <c r="O775" s="28"/>
      <c r="P775" s="28"/>
      <c r="Q775" s="36"/>
      <c r="R775" s="36"/>
      <c r="S775" s="36"/>
      <c r="T775" s="36"/>
      <c r="U775" s="36"/>
      <c r="V775" s="36"/>
      <c r="W775" s="36"/>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c r="BE775" s="28"/>
      <c r="BF775" s="28"/>
      <c r="BG775" s="28"/>
      <c r="BH775" s="28"/>
      <c r="BI775" s="28"/>
      <c r="BJ775" s="28"/>
      <c r="BK775" s="28"/>
      <c r="BL775" s="28"/>
      <c r="BM775" s="28"/>
      <c r="BN775" s="28"/>
      <c r="BO775" s="28"/>
      <c r="BP775" s="28"/>
      <c r="BQ775" s="28"/>
      <c r="BR775" s="28"/>
      <c r="BS775" s="28"/>
      <c r="BT775" s="28"/>
      <c r="BU775" s="28"/>
      <c r="BV775" s="28"/>
      <c r="BW775" s="28"/>
      <c r="BX775" s="28"/>
      <c r="BY775" s="28"/>
      <c r="BZ775" s="28"/>
      <c r="CA775" s="28"/>
      <c r="CB775" s="28"/>
      <c r="CC775" s="28"/>
      <c r="CD775" s="28"/>
      <c r="CE775" s="28"/>
      <c r="CF775" s="28"/>
      <c r="CG775" s="28"/>
    </row>
    <row r="776" spans="1:85" ht="12.75" x14ac:dyDescent="0.2">
      <c r="A776" s="28"/>
      <c r="B776" s="28"/>
      <c r="C776" s="28"/>
      <c r="D776" s="28"/>
      <c r="E776" s="28"/>
      <c r="F776" s="28"/>
      <c r="G776" s="28"/>
      <c r="H776" s="28"/>
      <c r="I776" s="28"/>
      <c r="J776" s="28"/>
      <c r="K776" s="36"/>
      <c r="L776" s="28"/>
      <c r="M776" s="28"/>
      <c r="N776" s="28"/>
      <c r="O776" s="28"/>
      <c r="P776" s="28"/>
      <c r="Q776" s="36"/>
      <c r="R776" s="36"/>
      <c r="S776" s="36"/>
      <c r="T776" s="36"/>
      <c r="U776" s="36"/>
      <c r="V776" s="36"/>
      <c r="W776" s="36"/>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c r="BW776" s="28"/>
      <c r="BX776" s="28"/>
      <c r="BY776" s="28"/>
      <c r="BZ776" s="28"/>
      <c r="CA776" s="28"/>
      <c r="CB776" s="28"/>
      <c r="CC776" s="28"/>
      <c r="CD776" s="28"/>
      <c r="CE776" s="28"/>
      <c r="CF776" s="28"/>
      <c r="CG776" s="28"/>
    </row>
    <row r="777" spans="1:85" ht="12.75" x14ac:dyDescent="0.2">
      <c r="A777" s="28"/>
      <c r="B777" s="28"/>
      <c r="C777" s="28"/>
      <c r="D777" s="28"/>
      <c r="E777" s="28"/>
      <c r="F777" s="28"/>
      <c r="G777" s="28"/>
      <c r="H777" s="28"/>
      <c r="I777" s="28"/>
      <c r="J777" s="28"/>
      <c r="K777" s="36"/>
      <c r="L777" s="28"/>
      <c r="M777" s="28"/>
      <c r="N777" s="28"/>
      <c r="O777" s="28"/>
      <c r="P777" s="28"/>
      <c r="Q777" s="36"/>
      <c r="R777" s="36"/>
      <c r="S777" s="36"/>
      <c r="T777" s="36"/>
      <c r="U777" s="36"/>
      <c r="V777" s="36"/>
      <c r="W777" s="36"/>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c r="BE777" s="28"/>
      <c r="BF777" s="28"/>
      <c r="BG777" s="28"/>
      <c r="BH777" s="28"/>
      <c r="BI777" s="28"/>
      <c r="BJ777" s="28"/>
      <c r="BK777" s="28"/>
      <c r="BL777" s="28"/>
      <c r="BM777" s="28"/>
      <c r="BN777" s="28"/>
      <c r="BO777" s="28"/>
      <c r="BP777" s="28"/>
      <c r="BQ777" s="28"/>
      <c r="BR777" s="28"/>
      <c r="BS777" s="28"/>
      <c r="BT777" s="28"/>
      <c r="BU777" s="28"/>
      <c r="BV777" s="28"/>
      <c r="BW777" s="28"/>
      <c r="BX777" s="28"/>
      <c r="BY777" s="28"/>
      <c r="BZ777" s="28"/>
      <c r="CA777" s="28"/>
      <c r="CB777" s="28"/>
      <c r="CC777" s="28"/>
      <c r="CD777" s="28"/>
      <c r="CE777" s="28"/>
      <c r="CF777" s="28"/>
      <c r="CG777" s="28"/>
    </row>
    <row r="778" spans="1:85" ht="12.75" x14ac:dyDescent="0.2">
      <c r="A778" s="28"/>
      <c r="B778" s="28"/>
      <c r="C778" s="28"/>
      <c r="D778" s="28"/>
      <c r="E778" s="28"/>
      <c r="F778" s="28"/>
      <c r="G778" s="28"/>
      <c r="H778" s="28"/>
      <c r="I778" s="28"/>
      <c r="J778" s="28"/>
      <c r="K778" s="36"/>
      <c r="L778" s="28"/>
      <c r="M778" s="28"/>
      <c r="N778" s="28"/>
      <c r="O778" s="28"/>
      <c r="P778" s="28"/>
      <c r="Q778" s="36"/>
      <c r="R778" s="36"/>
      <c r="S778" s="36"/>
      <c r="T778" s="36"/>
      <c r="U778" s="36"/>
      <c r="V778" s="36"/>
      <c r="W778" s="36"/>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c r="BW778" s="28"/>
      <c r="BX778" s="28"/>
      <c r="BY778" s="28"/>
      <c r="BZ778" s="28"/>
      <c r="CA778" s="28"/>
      <c r="CB778" s="28"/>
      <c r="CC778" s="28"/>
      <c r="CD778" s="28"/>
      <c r="CE778" s="28"/>
      <c r="CF778" s="28"/>
      <c r="CG778" s="28"/>
    </row>
    <row r="779" spans="1:85" ht="12.75" x14ac:dyDescent="0.2">
      <c r="A779" s="28"/>
      <c r="B779" s="28"/>
      <c r="C779" s="28"/>
      <c r="D779" s="28"/>
      <c r="E779" s="28"/>
      <c r="F779" s="28"/>
      <c r="G779" s="28"/>
      <c r="H779" s="28"/>
      <c r="I779" s="28"/>
      <c r="J779" s="28"/>
      <c r="K779" s="36"/>
      <c r="L779" s="28"/>
      <c r="M779" s="28"/>
      <c r="N779" s="28"/>
      <c r="O779" s="28"/>
      <c r="P779" s="28"/>
      <c r="Q779" s="36"/>
      <c r="R779" s="36"/>
      <c r="S779" s="36"/>
      <c r="T779" s="36"/>
      <c r="U779" s="36"/>
      <c r="V779" s="36"/>
      <c r="W779" s="36"/>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c r="BE779" s="28"/>
      <c r="BF779" s="28"/>
      <c r="BG779" s="28"/>
      <c r="BH779" s="28"/>
      <c r="BI779" s="28"/>
      <c r="BJ779" s="28"/>
      <c r="BK779" s="28"/>
      <c r="BL779" s="28"/>
      <c r="BM779" s="28"/>
      <c r="BN779" s="28"/>
      <c r="BO779" s="28"/>
      <c r="BP779" s="28"/>
      <c r="BQ779" s="28"/>
      <c r="BR779" s="28"/>
      <c r="BS779" s="28"/>
      <c r="BT779" s="28"/>
      <c r="BU779" s="28"/>
      <c r="BV779" s="28"/>
      <c r="BW779" s="28"/>
      <c r="BX779" s="28"/>
      <c r="BY779" s="28"/>
      <c r="BZ779" s="28"/>
      <c r="CA779" s="28"/>
      <c r="CB779" s="28"/>
      <c r="CC779" s="28"/>
      <c r="CD779" s="28"/>
      <c r="CE779" s="28"/>
      <c r="CF779" s="28"/>
      <c r="CG779" s="28"/>
    </row>
    <row r="780" spans="1:85" ht="12.75" x14ac:dyDescent="0.2">
      <c r="A780" s="28"/>
      <c r="B780" s="28"/>
      <c r="C780" s="28"/>
      <c r="D780" s="28"/>
      <c r="E780" s="28"/>
      <c r="F780" s="28"/>
      <c r="G780" s="28"/>
      <c r="H780" s="28"/>
      <c r="I780" s="28"/>
      <c r="J780" s="28"/>
      <c r="K780" s="36"/>
      <c r="L780" s="28"/>
      <c r="M780" s="28"/>
      <c r="N780" s="28"/>
      <c r="O780" s="28"/>
      <c r="P780" s="28"/>
      <c r="Q780" s="36"/>
      <c r="R780" s="36"/>
      <c r="S780" s="36"/>
      <c r="T780" s="36"/>
      <c r="U780" s="36"/>
      <c r="V780" s="36"/>
      <c r="W780" s="36"/>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c r="BW780" s="28"/>
      <c r="BX780" s="28"/>
      <c r="BY780" s="28"/>
      <c r="BZ780" s="28"/>
      <c r="CA780" s="28"/>
      <c r="CB780" s="28"/>
      <c r="CC780" s="28"/>
      <c r="CD780" s="28"/>
      <c r="CE780" s="28"/>
      <c r="CF780" s="28"/>
      <c r="CG780" s="28"/>
    </row>
    <row r="781" spans="1:85" ht="12.75" x14ac:dyDescent="0.2">
      <c r="A781" s="28"/>
      <c r="B781" s="28"/>
      <c r="C781" s="28"/>
      <c r="D781" s="28"/>
      <c r="E781" s="28"/>
      <c r="F781" s="28"/>
      <c r="G781" s="28"/>
      <c r="H781" s="28"/>
      <c r="I781" s="28"/>
      <c r="J781" s="28"/>
      <c r="K781" s="36"/>
      <c r="L781" s="28"/>
      <c r="M781" s="28"/>
      <c r="N781" s="28"/>
      <c r="O781" s="28"/>
      <c r="P781" s="28"/>
      <c r="Q781" s="36"/>
      <c r="R781" s="36"/>
      <c r="S781" s="36"/>
      <c r="T781" s="36"/>
      <c r="U781" s="36"/>
      <c r="V781" s="36"/>
      <c r="W781" s="36"/>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c r="BE781" s="28"/>
      <c r="BF781" s="28"/>
      <c r="BG781" s="28"/>
      <c r="BH781" s="28"/>
      <c r="BI781" s="28"/>
      <c r="BJ781" s="28"/>
      <c r="BK781" s="28"/>
      <c r="BL781" s="28"/>
      <c r="BM781" s="28"/>
      <c r="BN781" s="28"/>
      <c r="BO781" s="28"/>
      <c r="BP781" s="28"/>
      <c r="BQ781" s="28"/>
      <c r="BR781" s="28"/>
      <c r="BS781" s="28"/>
      <c r="BT781" s="28"/>
      <c r="BU781" s="28"/>
      <c r="BV781" s="28"/>
      <c r="BW781" s="28"/>
      <c r="BX781" s="28"/>
      <c r="BY781" s="28"/>
      <c r="BZ781" s="28"/>
      <c r="CA781" s="28"/>
      <c r="CB781" s="28"/>
      <c r="CC781" s="28"/>
      <c r="CD781" s="28"/>
      <c r="CE781" s="28"/>
      <c r="CF781" s="28"/>
      <c r="CG781" s="28"/>
    </row>
    <row r="782" spans="1:85" ht="12.75" x14ac:dyDescent="0.2">
      <c r="A782" s="28"/>
      <c r="B782" s="28"/>
      <c r="C782" s="28"/>
      <c r="D782" s="28"/>
      <c r="E782" s="28"/>
      <c r="F782" s="28"/>
      <c r="G782" s="28"/>
      <c r="H782" s="28"/>
      <c r="I782" s="28"/>
      <c r="J782" s="28"/>
      <c r="K782" s="36"/>
      <c r="L782" s="28"/>
      <c r="M782" s="28"/>
      <c r="N782" s="28"/>
      <c r="O782" s="28"/>
      <c r="P782" s="28"/>
      <c r="Q782" s="36"/>
      <c r="R782" s="36"/>
      <c r="S782" s="36"/>
      <c r="T782" s="36"/>
      <c r="U782" s="36"/>
      <c r="V782" s="36"/>
      <c r="W782" s="36"/>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c r="BW782" s="28"/>
      <c r="BX782" s="28"/>
      <c r="BY782" s="28"/>
      <c r="BZ782" s="28"/>
      <c r="CA782" s="28"/>
      <c r="CB782" s="28"/>
      <c r="CC782" s="28"/>
      <c r="CD782" s="28"/>
      <c r="CE782" s="28"/>
      <c r="CF782" s="28"/>
      <c r="CG782" s="28"/>
    </row>
    <row r="783" spans="1:85" ht="12.75" x14ac:dyDescent="0.2">
      <c r="A783" s="28"/>
      <c r="B783" s="28"/>
      <c r="C783" s="28"/>
      <c r="D783" s="28"/>
      <c r="E783" s="28"/>
      <c r="F783" s="28"/>
      <c r="G783" s="28"/>
      <c r="H783" s="28"/>
      <c r="I783" s="28"/>
      <c r="J783" s="28"/>
      <c r="K783" s="36"/>
      <c r="L783" s="28"/>
      <c r="M783" s="28"/>
      <c r="N783" s="28"/>
      <c r="O783" s="28"/>
      <c r="P783" s="28"/>
      <c r="Q783" s="36"/>
      <c r="R783" s="36"/>
      <c r="S783" s="36"/>
      <c r="T783" s="36"/>
      <c r="U783" s="36"/>
      <c r="V783" s="36"/>
      <c r="W783" s="36"/>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c r="BE783" s="28"/>
      <c r="BF783" s="28"/>
      <c r="BG783" s="28"/>
      <c r="BH783" s="28"/>
      <c r="BI783" s="28"/>
      <c r="BJ783" s="28"/>
      <c r="BK783" s="28"/>
      <c r="BL783" s="28"/>
      <c r="BM783" s="28"/>
      <c r="BN783" s="28"/>
      <c r="BO783" s="28"/>
      <c r="BP783" s="28"/>
      <c r="BQ783" s="28"/>
      <c r="BR783" s="28"/>
      <c r="BS783" s="28"/>
      <c r="BT783" s="28"/>
      <c r="BU783" s="28"/>
      <c r="BV783" s="28"/>
      <c r="BW783" s="28"/>
      <c r="BX783" s="28"/>
      <c r="BY783" s="28"/>
      <c r="BZ783" s="28"/>
      <c r="CA783" s="28"/>
      <c r="CB783" s="28"/>
      <c r="CC783" s="28"/>
      <c r="CD783" s="28"/>
      <c r="CE783" s="28"/>
      <c r="CF783" s="28"/>
      <c r="CG783" s="28"/>
    </row>
    <row r="784" spans="1:85" ht="12.75" x14ac:dyDescent="0.2">
      <c r="A784" s="28"/>
      <c r="B784" s="28"/>
      <c r="C784" s="28"/>
      <c r="D784" s="28"/>
      <c r="E784" s="28"/>
      <c r="F784" s="28"/>
      <c r="G784" s="28"/>
      <c r="H784" s="28"/>
      <c r="I784" s="28"/>
      <c r="J784" s="28"/>
      <c r="K784" s="36"/>
      <c r="L784" s="28"/>
      <c r="M784" s="28"/>
      <c r="N784" s="28"/>
      <c r="O784" s="28"/>
      <c r="P784" s="28"/>
      <c r="Q784" s="36"/>
      <c r="R784" s="36"/>
      <c r="S784" s="36"/>
      <c r="T784" s="36"/>
      <c r="U784" s="36"/>
      <c r="V784" s="36"/>
      <c r="W784" s="36"/>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c r="BW784" s="28"/>
      <c r="BX784" s="28"/>
      <c r="BY784" s="28"/>
      <c r="BZ784" s="28"/>
      <c r="CA784" s="28"/>
      <c r="CB784" s="28"/>
      <c r="CC784" s="28"/>
      <c r="CD784" s="28"/>
      <c r="CE784" s="28"/>
      <c r="CF784" s="28"/>
      <c r="CG784" s="28"/>
    </row>
    <row r="785" spans="1:85" ht="12.75" x14ac:dyDescent="0.2">
      <c r="A785" s="28"/>
      <c r="B785" s="28"/>
      <c r="C785" s="28"/>
      <c r="D785" s="28"/>
      <c r="E785" s="28"/>
      <c r="F785" s="28"/>
      <c r="G785" s="28"/>
      <c r="H785" s="28"/>
      <c r="I785" s="28"/>
      <c r="J785" s="28"/>
      <c r="K785" s="36"/>
      <c r="L785" s="28"/>
      <c r="M785" s="28"/>
      <c r="N785" s="28"/>
      <c r="O785" s="28"/>
      <c r="P785" s="28"/>
      <c r="Q785" s="36"/>
      <c r="R785" s="36"/>
      <c r="S785" s="36"/>
      <c r="T785" s="36"/>
      <c r="U785" s="36"/>
      <c r="V785" s="36"/>
      <c r="W785" s="36"/>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c r="BE785" s="28"/>
      <c r="BF785" s="28"/>
      <c r="BG785" s="28"/>
      <c r="BH785" s="28"/>
      <c r="BI785" s="28"/>
      <c r="BJ785" s="28"/>
      <c r="BK785" s="28"/>
      <c r="BL785" s="28"/>
      <c r="BM785" s="28"/>
      <c r="BN785" s="28"/>
      <c r="BO785" s="28"/>
      <c r="BP785" s="28"/>
      <c r="BQ785" s="28"/>
      <c r="BR785" s="28"/>
      <c r="BS785" s="28"/>
      <c r="BT785" s="28"/>
      <c r="BU785" s="28"/>
      <c r="BV785" s="28"/>
      <c r="BW785" s="28"/>
      <c r="BX785" s="28"/>
      <c r="BY785" s="28"/>
      <c r="BZ785" s="28"/>
      <c r="CA785" s="28"/>
      <c r="CB785" s="28"/>
      <c r="CC785" s="28"/>
      <c r="CD785" s="28"/>
      <c r="CE785" s="28"/>
      <c r="CF785" s="28"/>
      <c r="CG785" s="28"/>
    </row>
    <row r="786" spans="1:85" ht="12.75" x14ac:dyDescent="0.2">
      <c r="A786" s="28"/>
      <c r="B786" s="28"/>
      <c r="C786" s="28"/>
      <c r="D786" s="28"/>
      <c r="E786" s="28"/>
      <c r="F786" s="28"/>
      <c r="G786" s="28"/>
      <c r="H786" s="28"/>
      <c r="I786" s="28"/>
      <c r="J786" s="28"/>
      <c r="K786" s="36"/>
      <c r="L786" s="28"/>
      <c r="M786" s="28"/>
      <c r="N786" s="28"/>
      <c r="O786" s="28"/>
      <c r="P786" s="28"/>
      <c r="Q786" s="36"/>
      <c r="R786" s="36"/>
      <c r="S786" s="36"/>
      <c r="T786" s="36"/>
      <c r="U786" s="36"/>
      <c r="V786" s="36"/>
      <c r="W786" s="36"/>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c r="BW786" s="28"/>
      <c r="BX786" s="28"/>
      <c r="BY786" s="28"/>
      <c r="BZ786" s="28"/>
      <c r="CA786" s="28"/>
      <c r="CB786" s="28"/>
      <c r="CC786" s="28"/>
      <c r="CD786" s="28"/>
      <c r="CE786" s="28"/>
      <c r="CF786" s="28"/>
      <c r="CG786" s="28"/>
    </row>
    <row r="787" spans="1:85" ht="12.75" x14ac:dyDescent="0.2">
      <c r="A787" s="28"/>
      <c r="B787" s="28"/>
      <c r="C787" s="28"/>
      <c r="D787" s="28"/>
      <c r="E787" s="28"/>
      <c r="F787" s="28"/>
      <c r="G787" s="28"/>
      <c r="H787" s="28"/>
      <c r="I787" s="28"/>
      <c r="J787" s="28"/>
      <c r="K787" s="36"/>
      <c r="L787" s="28"/>
      <c r="M787" s="28"/>
      <c r="N787" s="28"/>
      <c r="O787" s="28"/>
      <c r="P787" s="28"/>
      <c r="Q787" s="36"/>
      <c r="R787" s="36"/>
      <c r="S787" s="36"/>
      <c r="T787" s="36"/>
      <c r="U787" s="36"/>
      <c r="V787" s="36"/>
      <c r="W787" s="36"/>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c r="BE787" s="28"/>
      <c r="BF787" s="28"/>
      <c r="BG787" s="28"/>
      <c r="BH787" s="28"/>
      <c r="BI787" s="28"/>
      <c r="BJ787" s="28"/>
      <c r="BK787" s="28"/>
      <c r="BL787" s="28"/>
      <c r="BM787" s="28"/>
      <c r="BN787" s="28"/>
      <c r="BO787" s="28"/>
      <c r="BP787" s="28"/>
      <c r="BQ787" s="28"/>
      <c r="BR787" s="28"/>
      <c r="BS787" s="28"/>
      <c r="BT787" s="28"/>
      <c r="BU787" s="28"/>
      <c r="BV787" s="28"/>
      <c r="BW787" s="28"/>
      <c r="BX787" s="28"/>
      <c r="BY787" s="28"/>
      <c r="BZ787" s="28"/>
      <c r="CA787" s="28"/>
      <c r="CB787" s="28"/>
      <c r="CC787" s="28"/>
      <c r="CD787" s="28"/>
      <c r="CE787" s="28"/>
      <c r="CF787" s="28"/>
      <c r="CG787" s="28"/>
    </row>
    <row r="788" spans="1:85" ht="12.75" x14ac:dyDescent="0.2">
      <c r="A788" s="28"/>
      <c r="B788" s="28"/>
      <c r="C788" s="28"/>
      <c r="D788" s="28"/>
      <c r="E788" s="28"/>
      <c r="F788" s="28"/>
      <c r="G788" s="28"/>
      <c r="H788" s="28"/>
      <c r="I788" s="28"/>
      <c r="J788" s="28"/>
      <c r="K788" s="36"/>
      <c r="L788" s="28"/>
      <c r="M788" s="28"/>
      <c r="N788" s="28"/>
      <c r="O788" s="28"/>
      <c r="P788" s="28"/>
      <c r="Q788" s="36"/>
      <c r="R788" s="36"/>
      <c r="S788" s="36"/>
      <c r="T788" s="36"/>
      <c r="U788" s="36"/>
      <c r="V788" s="36"/>
      <c r="W788" s="36"/>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c r="BW788" s="28"/>
      <c r="BX788" s="28"/>
      <c r="BY788" s="28"/>
      <c r="BZ788" s="28"/>
      <c r="CA788" s="28"/>
      <c r="CB788" s="28"/>
      <c r="CC788" s="28"/>
      <c r="CD788" s="28"/>
      <c r="CE788" s="28"/>
      <c r="CF788" s="28"/>
      <c r="CG788" s="28"/>
    </row>
    <row r="789" spans="1:85" ht="12.75" x14ac:dyDescent="0.2">
      <c r="A789" s="28"/>
      <c r="B789" s="28"/>
      <c r="C789" s="28"/>
      <c r="D789" s="28"/>
      <c r="E789" s="28"/>
      <c r="F789" s="28"/>
      <c r="G789" s="28"/>
      <c r="H789" s="28"/>
      <c r="I789" s="28"/>
      <c r="J789" s="28"/>
      <c r="K789" s="36"/>
      <c r="L789" s="28"/>
      <c r="M789" s="28"/>
      <c r="N789" s="28"/>
      <c r="O789" s="28"/>
      <c r="P789" s="28"/>
      <c r="Q789" s="36"/>
      <c r="R789" s="36"/>
      <c r="S789" s="36"/>
      <c r="T789" s="36"/>
      <c r="U789" s="36"/>
      <c r="V789" s="36"/>
      <c r="W789" s="36"/>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c r="BE789" s="28"/>
      <c r="BF789" s="28"/>
      <c r="BG789" s="28"/>
      <c r="BH789" s="28"/>
      <c r="BI789" s="28"/>
      <c r="BJ789" s="28"/>
      <c r="BK789" s="28"/>
      <c r="BL789" s="28"/>
      <c r="BM789" s="28"/>
      <c r="BN789" s="28"/>
      <c r="BO789" s="28"/>
      <c r="BP789" s="28"/>
      <c r="BQ789" s="28"/>
      <c r="BR789" s="28"/>
      <c r="BS789" s="28"/>
      <c r="BT789" s="28"/>
      <c r="BU789" s="28"/>
      <c r="BV789" s="28"/>
      <c r="BW789" s="28"/>
      <c r="BX789" s="28"/>
      <c r="BY789" s="28"/>
      <c r="BZ789" s="28"/>
      <c r="CA789" s="28"/>
      <c r="CB789" s="28"/>
      <c r="CC789" s="28"/>
      <c r="CD789" s="28"/>
      <c r="CE789" s="28"/>
      <c r="CF789" s="28"/>
      <c r="CG789" s="28"/>
    </row>
    <row r="790" spans="1:85" ht="12.75" x14ac:dyDescent="0.2">
      <c r="A790" s="28"/>
      <c r="B790" s="28"/>
      <c r="C790" s="28"/>
      <c r="D790" s="28"/>
      <c r="E790" s="28"/>
      <c r="F790" s="28"/>
      <c r="G790" s="28"/>
      <c r="H790" s="28"/>
      <c r="I790" s="28"/>
      <c r="J790" s="28"/>
      <c r="K790" s="36"/>
      <c r="L790" s="28"/>
      <c r="M790" s="28"/>
      <c r="N790" s="28"/>
      <c r="O790" s="28"/>
      <c r="P790" s="28"/>
      <c r="Q790" s="36"/>
      <c r="R790" s="36"/>
      <c r="S790" s="36"/>
      <c r="T790" s="36"/>
      <c r="U790" s="36"/>
      <c r="V790" s="36"/>
      <c r="W790" s="36"/>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c r="BW790" s="28"/>
      <c r="BX790" s="28"/>
      <c r="BY790" s="28"/>
      <c r="BZ790" s="28"/>
      <c r="CA790" s="28"/>
      <c r="CB790" s="28"/>
      <c r="CC790" s="28"/>
      <c r="CD790" s="28"/>
      <c r="CE790" s="28"/>
      <c r="CF790" s="28"/>
      <c r="CG790" s="28"/>
    </row>
    <row r="791" spans="1:85" ht="12.75" x14ac:dyDescent="0.2">
      <c r="A791" s="28"/>
      <c r="B791" s="28"/>
      <c r="C791" s="28"/>
      <c r="D791" s="28"/>
      <c r="E791" s="28"/>
      <c r="F791" s="28"/>
      <c r="G791" s="28"/>
      <c r="H791" s="28"/>
      <c r="I791" s="28"/>
      <c r="J791" s="28"/>
      <c r="K791" s="36"/>
      <c r="L791" s="28"/>
      <c r="M791" s="28"/>
      <c r="N791" s="28"/>
      <c r="O791" s="28"/>
      <c r="P791" s="28"/>
      <c r="Q791" s="36"/>
      <c r="R791" s="36"/>
      <c r="S791" s="36"/>
      <c r="T791" s="36"/>
      <c r="U791" s="36"/>
      <c r="V791" s="36"/>
      <c r="W791" s="36"/>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c r="BE791" s="28"/>
      <c r="BF791" s="28"/>
      <c r="BG791" s="28"/>
      <c r="BH791" s="28"/>
      <c r="BI791" s="28"/>
      <c r="BJ791" s="28"/>
      <c r="BK791" s="28"/>
      <c r="BL791" s="28"/>
      <c r="BM791" s="28"/>
      <c r="BN791" s="28"/>
      <c r="BO791" s="28"/>
      <c r="BP791" s="28"/>
      <c r="BQ791" s="28"/>
      <c r="BR791" s="28"/>
      <c r="BS791" s="28"/>
      <c r="BT791" s="28"/>
      <c r="BU791" s="28"/>
      <c r="BV791" s="28"/>
      <c r="BW791" s="28"/>
      <c r="BX791" s="28"/>
      <c r="BY791" s="28"/>
      <c r="BZ791" s="28"/>
      <c r="CA791" s="28"/>
      <c r="CB791" s="28"/>
      <c r="CC791" s="28"/>
      <c r="CD791" s="28"/>
      <c r="CE791" s="28"/>
      <c r="CF791" s="28"/>
      <c r="CG791" s="28"/>
    </row>
    <row r="792" spans="1:85" ht="12.75" x14ac:dyDescent="0.2">
      <c r="A792" s="28"/>
      <c r="B792" s="28"/>
      <c r="C792" s="28"/>
      <c r="D792" s="28"/>
      <c r="E792" s="28"/>
      <c r="F792" s="28"/>
      <c r="G792" s="28"/>
      <c r="H792" s="28"/>
      <c r="I792" s="28"/>
      <c r="J792" s="28"/>
      <c r="K792" s="36"/>
      <c r="L792" s="28"/>
      <c r="M792" s="28"/>
      <c r="N792" s="28"/>
      <c r="O792" s="28"/>
      <c r="P792" s="28"/>
      <c r="Q792" s="36"/>
      <c r="R792" s="36"/>
      <c r="S792" s="36"/>
      <c r="T792" s="36"/>
      <c r="U792" s="36"/>
      <c r="V792" s="36"/>
      <c r="W792" s="36"/>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c r="BW792" s="28"/>
      <c r="BX792" s="28"/>
      <c r="BY792" s="28"/>
      <c r="BZ792" s="28"/>
      <c r="CA792" s="28"/>
      <c r="CB792" s="28"/>
      <c r="CC792" s="28"/>
      <c r="CD792" s="28"/>
      <c r="CE792" s="28"/>
      <c r="CF792" s="28"/>
      <c r="CG792" s="28"/>
    </row>
    <row r="793" spans="1:85" ht="12.75" x14ac:dyDescent="0.2">
      <c r="A793" s="28"/>
      <c r="B793" s="28"/>
      <c r="C793" s="28"/>
      <c r="D793" s="28"/>
      <c r="E793" s="28"/>
      <c r="F793" s="28"/>
      <c r="G793" s="28"/>
      <c r="H793" s="28"/>
      <c r="I793" s="28"/>
      <c r="J793" s="28"/>
      <c r="K793" s="36"/>
      <c r="L793" s="28"/>
      <c r="M793" s="28"/>
      <c r="N793" s="28"/>
      <c r="O793" s="28"/>
      <c r="P793" s="28"/>
      <c r="Q793" s="36"/>
      <c r="R793" s="36"/>
      <c r="S793" s="36"/>
      <c r="T793" s="36"/>
      <c r="U793" s="36"/>
      <c r="V793" s="36"/>
      <c r="W793" s="36"/>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c r="BE793" s="28"/>
      <c r="BF793" s="28"/>
      <c r="BG793" s="28"/>
      <c r="BH793" s="28"/>
      <c r="BI793" s="28"/>
      <c r="BJ793" s="28"/>
      <c r="BK793" s="28"/>
      <c r="BL793" s="28"/>
      <c r="BM793" s="28"/>
      <c r="BN793" s="28"/>
      <c r="BO793" s="28"/>
      <c r="BP793" s="28"/>
      <c r="BQ793" s="28"/>
      <c r="BR793" s="28"/>
      <c r="BS793" s="28"/>
      <c r="BT793" s="28"/>
      <c r="BU793" s="28"/>
      <c r="BV793" s="28"/>
      <c r="BW793" s="28"/>
      <c r="BX793" s="28"/>
      <c r="BY793" s="28"/>
      <c r="BZ793" s="28"/>
      <c r="CA793" s="28"/>
      <c r="CB793" s="28"/>
      <c r="CC793" s="28"/>
      <c r="CD793" s="28"/>
      <c r="CE793" s="28"/>
      <c r="CF793" s="28"/>
      <c r="CG793" s="28"/>
    </row>
    <row r="794" spans="1:85" ht="12.75" x14ac:dyDescent="0.2">
      <c r="A794" s="28"/>
      <c r="B794" s="28"/>
      <c r="C794" s="28"/>
      <c r="D794" s="28"/>
      <c r="E794" s="28"/>
      <c r="F794" s="28"/>
      <c r="G794" s="28"/>
      <c r="H794" s="28"/>
      <c r="I794" s="28"/>
      <c r="J794" s="28"/>
      <c r="K794" s="36"/>
      <c r="L794" s="28"/>
      <c r="M794" s="28"/>
      <c r="N794" s="28"/>
      <c r="O794" s="28"/>
      <c r="P794" s="28"/>
      <c r="Q794" s="36"/>
      <c r="R794" s="36"/>
      <c r="S794" s="36"/>
      <c r="T794" s="36"/>
      <c r="U794" s="36"/>
      <c r="V794" s="36"/>
      <c r="W794" s="36"/>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c r="BW794" s="28"/>
      <c r="BX794" s="28"/>
      <c r="BY794" s="28"/>
      <c r="BZ794" s="28"/>
      <c r="CA794" s="28"/>
      <c r="CB794" s="28"/>
      <c r="CC794" s="28"/>
      <c r="CD794" s="28"/>
      <c r="CE794" s="28"/>
      <c r="CF794" s="28"/>
      <c r="CG794" s="28"/>
    </row>
    <row r="795" spans="1:85" ht="12.75" x14ac:dyDescent="0.2">
      <c r="A795" s="28"/>
      <c r="B795" s="28"/>
      <c r="C795" s="28"/>
      <c r="D795" s="28"/>
      <c r="E795" s="28"/>
      <c r="F795" s="28"/>
      <c r="G795" s="28"/>
      <c r="H795" s="28"/>
      <c r="I795" s="28"/>
      <c r="J795" s="28"/>
      <c r="K795" s="36"/>
      <c r="L795" s="28"/>
      <c r="M795" s="28"/>
      <c r="N795" s="28"/>
      <c r="O795" s="28"/>
      <c r="P795" s="28"/>
      <c r="Q795" s="36"/>
      <c r="R795" s="36"/>
      <c r="S795" s="36"/>
      <c r="T795" s="36"/>
      <c r="U795" s="36"/>
      <c r="V795" s="36"/>
      <c r="W795" s="36"/>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c r="BE795" s="28"/>
      <c r="BF795" s="28"/>
      <c r="BG795" s="28"/>
      <c r="BH795" s="28"/>
      <c r="BI795" s="28"/>
      <c r="BJ795" s="28"/>
      <c r="BK795" s="28"/>
      <c r="BL795" s="28"/>
      <c r="BM795" s="28"/>
      <c r="BN795" s="28"/>
      <c r="BO795" s="28"/>
      <c r="BP795" s="28"/>
      <c r="BQ795" s="28"/>
      <c r="BR795" s="28"/>
      <c r="BS795" s="28"/>
      <c r="BT795" s="28"/>
      <c r="BU795" s="28"/>
      <c r="BV795" s="28"/>
      <c r="BW795" s="28"/>
      <c r="BX795" s="28"/>
      <c r="BY795" s="28"/>
      <c r="BZ795" s="28"/>
      <c r="CA795" s="28"/>
      <c r="CB795" s="28"/>
      <c r="CC795" s="28"/>
      <c r="CD795" s="28"/>
      <c r="CE795" s="28"/>
      <c r="CF795" s="28"/>
      <c r="CG795" s="28"/>
    </row>
    <row r="796" spans="1:85" ht="12.75" x14ac:dyDescent="0.2">
      <c r="A796" s="28"/>
      <c r="B796" s="28"/>
      <c r="C796" s="28"/>
      <c r="D796" s="28"/>
      <c r="E796" s="28"/>
      <c r="F796" s="28"/>
      <c r="G796" s="28"/>
      <c r="H796" s="28"/>
      <c r="I796" s="28"/>
      <c r="J796" s="28"/>
      <c r="K796" s="36"/>
      <c r="L796" s="28"/>
      <c r="M796" s="28"/>
      <c r="N796" s="28"/>
      <c r="O796" s="28"/>
      <c r="P796" s="28"/>
      <c r="Q796" s="36"/>
      <c r="R796" s="36"/>
      <c r="S796" s="36"/>
      <c r="T796" s="36"/>
      <c r="U796" s="36"/>
      <c r="V796" s="36"/>
      <c r="W796" s="36"/>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c r="BW796" s="28"/>
      <c r="BX796" s="28"/>
      <c r="BY796" s="28"/>
      <c r="BZ796" s="28"/>
      <c r="CA796" s="28"/>
      <c r="CB796" s="28"/>
      <c r="CC796" s="28"/>
      <c r="CD796" s="28"/>
      <c r="CE796" s="28"/>
      <c r="CF796" s="28"/>
      <c r="CG796" s="28"/>
    </row>
    <row r="797" spans="1:85" ht="12.75" x14ac:dyDescent="0.2">
      <c r="A797" s="28"/>
      <c r="B797" s="28"/>
      <c r="C797" s="28"/>
      <c r="D797" s="28"/>
      <c r="E797" s="28"/>
      <c r="F797" s="28"/>
      <c r="G797" s="28"/>
      <c r="H797" s="28"/>
      <c r="I797" s="28"/>
      <c r="J797" s="28"/>
      <c r="K797" s="36"/>
      <c r="L797" s="28"/>
      <c r="M797" s="28"/>
      <c r="N797" s="28"/>
      <c r="O797" s="28"/>
      <c r="P797" s="28"/>
      <c r="Q797" s="36"/>
      <c r="R797" s="36"/>
      <c r="S797" s="36"/>
      <c r="T797" s="36"/>
      <c r="U797" s="36"/>
      <c r="V797" s="36"/>
      <c r="W797" s="36"/>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c r="BE797" s="28"/>
      <c r="BF797" s="28"/>
      <c r="BG797" s="28"/>
      <c r="BH797" s="28"/>
      <c r="BI797" s="28"/>
      <c r="BJ797" s="28"/>
      <c r="BK797" s="28"/>
      <c r="BL797" s="28"/>
      <c r="BM797" s="28"/>
      <c r="BN797" s="28"/>
      <c r="BO797" s="28"/>
      <c r="BP797" s="28"/>
      <c r="BQ797" s="28"/>
      <c r="BR797" s="28"/>
      <c r="BS797" s="28"/>
      <c r="BT797" s="28"/>
      <c r="BU797" s="28"/>
      <c r="BV797" s="28"/>
      <c r="BW797" s="28"/>
      <c r="BX797" s="28"/>
      <c r="BY797" s="28"/>
      <c r="BZ797" s="28"/>
      <c r="CA797" s="28"/>
      <c r="CB797" s="28"/>
      <c r="CC797" s="28"/>
      <c r="CD797" s="28"/>
      <c r="CE797" s="28"/>
      <c r="CF797" s="28"/>
      <c r="CG797" s="28"/>
    </row>
    <row r="798" spans="1:85" ht="12.75" x14ac:dyDescent="0.2">
      <c r="A798" s="28"/>
      <c r="B798" s="28"/>
      <c r="C798" s="28"/>
      <c r="D798" s="28"/>
      <c r="E798" s="28"/>
      <c r="F798" s="28"/>
      <c r="G798" s="28"/>
      <c r="H798" s="28"/>
      <c r="I798" s="28"/>
      <c r="J798" s="28"/>
      <c r="K798" s="36"/>
      <c r="L798" s="28"/>
      <c r="M798" s="28"/>
      <c r="N798" s="28"/>
      <c r="O798" s="28"/>
      <c r="P798" s="28"/>
      <c r="Q798" s="36"/>
      <c r="R798" s="36"/>
      <c r="S798" s="36"/>
      <c r="T798" s="36"/>
      <c r="U798" s="36"/>
      <c r="V798" s="36"/>
      <c r="W798" s="36"/>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c r="BW798" s="28"/>
      <c r="BX798" s="28"/>
      <c r="BY798" s="28"/>
      <c r="BZ798" s="28"/>
      <c r="CA798" s="28"/>
      <c r="CB798" s="28"/>
      <c r="CC798" s="28"/>
      <c r="CD798" s="28"/>
      <c r="CE798" s="28"/>
      <c r="CF798" s="28"/>
      <c r="CG798" s="28"/>
    </row>
    <row r="799" spans="1:85" ht="12.75" x14ac:dyDescent="0.2">
      <c r="A799" s="28"/>
      <c r="B799" s="28"/>
      <c r="C799" s="28"/>
      <c r="D799" s="28"/>
      <c r="E799" s="28"/>
      <c r="F799" s="28"/>
      <c r="G799" s="28"/>
      <c r="H799" s="28"/>
      <c r="I799" s="28"/>
      <c r="J799" s="28"/>
      <c r="K799" s="36"/>
      <c r="L799" s="28"/>
      <c r="M799" s="28"/>
      <c r="N799" s="28"/>
      <c r="O799" s="28"/>
      <c r="P799" s="28"/>
      <c r="Q799" s="36"/>
      <c r="R799" s="36"/>
      <c r="S799" s="36"/>
      <c r="T799" s="36"/>
      <c r="U799" s="36"/>
      <c r="V799" s="36"/>
      <c r="W799" s="36"/>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c r="BE799" s="28"/>
      <c r="BF799" s="28"/>
      <c r="BG799" s="28"/>
      <c r="BH799" s="28"/>
      <c r="BI799" s="28"/>
      <c r="BJ799" s="28"/>
      <c r="BK799" s="28"/>
      <c r="BL799" s="28"/>
      <c r="BM799" s="28"/>
      <c r="BN799" s="28"/>
      <c r="BO799" s="28"/>
      <c r="BP799" s="28"/>
      <c r="BQ799" s="28"/>
      <c r="BR799" s="28"/>
      <c r="BS799" s="28"/>
      <c r="BT799" s="28"/>
      <c r="BU799" s="28"/>
      <c r="BV799" s="28"/>
      <c r="BW799" s="28"/>
      <c r="BX799" s="28"/>
      <c r="BY799" s="28"/>
      <c r="BZ799" s="28"/>
      <c r="CA799" s="28"/>
      <c r="CB799" s="28"/>
      <c r="CC799" s="28"/>
      <c r="CD799" s="28"/>
      <c r="CE799" s="28"/>
      <c r="CF799" s="28"/>
      <c r="CG799" s="28"/>
    </row>
    <row r="800" spans="1:85" ht="12.75" x14ac:dyDescent="0.2">
      <c r="A800" s="28"/>
      <c r="B800" s="28"/>
      <c r="C800" s="28"/>
      <c r="D800" s="28"/>
      <c r="E800" s="28"/>
      <c r="F800" s="28"/>
      <c r="G800" s="28"/>
      <c r="H800" s="28"/>
      <c r="I800" s="28"/>
      <c r="J800" s="28"/>
      <c r="K800" s="36"/>
      <c r="L800" s="28"/>
      <c r="M800" s="28"/>
      <c r="N800" s="28"/>
      <c r="O800" s="28"/>
      <c r="P800" s="28"/>
      <c r="Q800" s="36"/>
      <c r="R800" s="36"/>
      <c r="S800" s="36"/>
      <c r="T800" s="36"/>
      <c r="U800" s="36"/>
      <c r="V800" s="36"/>
      <c r="W800" s="36"/>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c r="BW800" s="28"/>
      <c r="BX800" s="28"/>
      <c r="BY800" s="28"/>
      <c r="BZ800" s="28"/>
      <c r="CA800" s="28"/>
      <c r="CB800" s="28"/>
      <c r="CC800" s="28"/>
      <c r="CD800" s="28"/>
      <c r="CE800" s="28"/>
      <c r="CF800" s="28"/>
      <c r="CG800" s="28"/>
    </row>
    <row r="801" spans="1:85" ht="12.75" x14ac:dyDescent="0.2">
      <c r="A801" s="28"/>
      <c r="B801" s="28"/>
      <c r="C801" s="28"/>
      <c r="D801" s="28"/>
      <c r="E801" s="28"/>
      <c r="F801" s="28"/>
      <c r="G801" s="28"/>
      <c r="H801" s="28"/>
      <c r="I801" s="28"/>
      <c r="J801" s="28"/>
      <c r="K801" s="36"/>
      <c r="L801" s="28"/>
      <c r="M801" s="28"/>
      <c r="N801" s="28"/>
      <c r="O801" s="28"/>
      <c r="P801" s="28"/>
      <c r="Q801" s="36"/>
      <c r="R801" s="36"/>
      <c r="S801" s="36"/>
      <c r="T801" s="36"/>
      <c r="U801" s="36"/>
      <c r="V801" s="36"/>
      <c r="W801" s="36"/>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c r="BE801" s="28"/>
      <c r="BF801" s="28"/>
      <c r="BG801" s="28"/>
      <c r="BH801" s="28"/>
      <c r="BI801" s="28"/>
      <c r="BJ801" s="28"/>
      <c r="BK801" s="28"/>
      <c r="BL801" s="28"/>
      <c r="BM801" s="28"/>
      <c r="BN801" s="28"/>
      <c r="BO801" s="28"/>
      <c r="BP801" s="28"/>
      <c r="BQ801" s="28"/>
      <c r="BR801" s="28"/>
      <c r="BS801" s="28"/>
      <c r="BT801" s="28"/>
      <c r="BU801" s="28"/>
      <c r="BV801" s="28"/>
      <c r="BW801" s="28"/>
      <c r="BX801" s="28"/>
      <c r="BY801" s="28"/>
      <c r="BZ801" s="28"/>
      <c r="CA801" s="28"/>
      <c r="CB801" s="28"/>
      <c r="CC801" s="28"/>
      <c r="CD801" s="28"/>
      <c r="CE801" s="28"/>
      <c r="CF801" s="28"/>
      <c r="CG801" s="28"/>
    </row>
    <row r="802" spans="1:85" ht="12.75" x14ac:dyDescent="0.2">
      <c r="A802" s="28"/>
      <c r="B802" s="28"/>
      <c r="C802" s="28"/>
      <c r="D802" s="28"/>
      <c r="E802" s="28"/>
      <c r="F802" s="28"/>
      <c r="G802" s="28"/>
      <c r="H802" s="28"/>
      <c r="I802" s="28"/>
      <c r="J802" s="28"/>
      <c r="K802" s="36"/>
      <c r="L802" s="28"/>
      <c r="M802" s="28"/>
      <c r="N802" s="28"/>
      <c r="O802" s="28"/>
      <c r="P802" s="28"/>
      <c r="Q802" s="36"/>
      <c r="R802" s="36"/>
      <c r="S802" s="36"/>
      <c r="T802" s="36"/>
      <c r="U802" s="36"/>
      <c r="V802" s="36"/>
      <c r="W802" s="36"/>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c r="BW802" s="28"/>
      <c r="BX802" s="28"/>
      <c r="BY802" s="28"/>
      <c r="BZ802" s="28"/>
      <c r="CA802" s="28"/>
      <c r="CB802" s="28"/>
      <c r="CC802" s="28"/>
      <c r="CD802" s="28"/>
      <c r="CE802" s="28"/>
      <c r="CF802" s="28"/>
      <c r="CG802" s="28"/>
    </row>
    <row r="803" spans="1:85" ht="12.75" x14ac:dyDescent="0.2">
      <c r="A803" s="28"/>
      <c r="B803" s="28"/>
      <c r="C803" s="28"/>
      <c r="D803" s="28"/>
      <c r="E803" s="28"/>
      <c r="F803" s="28"/>
      <c r="G803" s="28"/>
      <c r="H803" s="28"/>
      <c r="I803" s="28"/>
      <c r="J803" s="28"/>
      <c r="K803" s="36"/>
      <c r="L803" s="28"/>
      <c r="M803" s="28"/>
      <c r="N803" s="28"/>
      <c r="O803" s="28"/>
      <c r="P803" s="28"/>
      <c r="Q803" s="36"/>
      <c r="R803" s="36"/>
      <c r="S803" s="36"/>
      <c r="T803" s="36"/>
      <c r="U803" s="36"/>
      <c r="V803" s="36"/>
      <c r="W803" s="36"/>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c r="BE803" s="28"/>
      <c r="BF803" s="28"/>
      <c r="BG803" s="28"/>
      <c r="BH803" s="28"/>
      <c r="BI803" s="28"/>
      <c r="BJ803" s="28"/>
      <c r="BK803" s="28"/>
      <c r="BL803" s="28"/>
      <c r="BM803" s="28"/>
      <c r="BN803" s="28"/>
      <c r="BO803" s="28"/>
      <c r="BP803" s="28"/>
      <c r="BQ803" s="28"/>
      <c r="BR803" s="28"/>
      <c r="BS803" s="28"/>
      <c r="BT803" s="28"/>
      <c r="BU803" s="28"/>
      <c r="BV803" s="28"/>
      <c r="BW803" s="28"/>
      <c r="BX803" s="28"/>
      <c r="BY803" s="28"/>
      <c r="BZ803" s="28"/>
      <c r="CA803" s="28"/>
      <c r="CB803" s="28"/>
      <c r="CC803" s="28"/>
      <c r="CD803" s="28"/>
      <c r="CE803" s="28"/>
      <c r="CF803" s="28"/>
      <c r="CG803" s="28"/>
    </row>
    <row r="804" spans="1:85" ht="12.75" x14ac:dyDescent="0.2">
      <c r="A804" s="28"/>
      <c r="B804" s="28"/>
      <c r="C804" s="28"/>
      <c r="D804" s="28"/>
      <c r="E804" s="28"/>
      <c r="F804" s="28"/>
      <c r="G804" s="28"/>
      <c r="H804" s="28"/>
      <c r="I804" s="28"/>
      <c r="J804" s="28"/>
      <c r="K804" s="36"/>
      <c r="L804" s="28"/>
      <c r="M804" s="28"/>
      <c r="N804" s="28"/>
      <c r="O804" s="28"/>
      <c r="P804" s="28"/>
      <c r="Q804" s="36"/>
      <c r="R804" s="36"/>
      <c r="S804" s="36"/>
      <c r="T804" s="36"/>
      <c r="U804" s="36"/>
      <c r="V804" s="36"/>
      <c r="W804" s="36"/>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c r="BW804" s="28"/>
      <c r="BX804" s="28"/>
      <c r="BY804" s="28"/>
      <c r="BZ804" s="28"/>
      <c r="CA804" s="28"/>
      <c r="CB804" s="28"/>
      <c r="CC804" s="28"/>
      <c r="CD804" s="28"/>
      <c r="CE804" s="28"/>
      <c r="CF804" s="28"/>
      <c r="CG804" s="28"/>
    </row>
    <row r="805" spans="1:85" ht="12.75" x14ac:dyDescent="0.2">
      <c r="A805" s="28"/>
      <c r="B805" s="28"/>
      <c r="C805" s="28"/>
      <c r="D805" s="28"/>
      <c r="E805" s="28"/>
      <c r="F805" s="28"/>
      <c r="G805" s="28"/>
      <c r="H805" s="28"/>
      <c r="I805" s="28"/>
      <c r="J805" s="28"/>
      <c r="K805" s="36"/>
      <c r="L805" s="28"/>
      <c r="M805" s="28"/>
      <c r="N805" s="28"/>
      <c r="O805" s="28"/>
      <c r="P805" s="28"/>
      <c r="Q805" s="36"/>
      <c r="R805" s="36"/>
      <c r="S805" s="36"/>
      <c r="T805" s="36"/>
      <c r="U805" s="36"/>
      <c r="V805" s="36"/>
      <c r="W805" s="36"/>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c r="BE805" s="28"/>
      <c r="BF805" s="28"/>
      <c r="BG805" s="28"/>
      <c r="BH805" s="28"/>
      <c r="BI805" s="28"/>
      <c r="BJ805" s="28"/>
      <c r="BK805" s="28"/>
      <c r="BL805" s="28"/>
      <c r="BM805" s="28"/>
      <c r="BN805" s="28"/>
      <c r="BO805" s="28"/>
      <c r="BP805" s="28"/>
      <c r="BQ805" s="28"/>
      <c r="BR805" s="28"/>
      <c r="BS805" s="28"/>
      <c r="BT805" s="28"/>
      <c r="BU805" s="28"/>
      <c r="BV805" s="28"/>
      <c r="BW805" s="28"/>
      <c r="BX805" s="28"/>
      <c r="BY805" s="28"/>
      <c r="BZ805" s="28"/>
      <c r="CA805" s="28"/>
      <c r="CB805" s="28"/>
      <c r="CC805" s="28"/>
      <c r="CD805" s="28"/>
      <c r="CE805" s="28"/>
      <c r="CF805" s="28"/>
      <c r="CG805" s="28"/>
    </row>
    <row r="806" spans="1:85" ht="12.75" x14ac:dyDescent="0.2">
      <c r="A806" s="28"/>
      <c r="B806" s="28"/>
      <c r="C806" s="28"/>
      <c r="D806" s="28"/>
      <c r="E806" s="28"/>
      <c r="F806" s="28"/>
      <c r="G806" s="28"/>
      <c r="H806" s="28"/>
      <c r="I806" s="28"/>
      <c r="J806" s="28"/>
      <c r="K806" s="36"/>
      <c r="L806" s="28"/>
      <c r="M806" s="28"/>
      <c r="N806" s="28"/>
      <c r="O806" s="28"/>
      <c r="P806" s="28"/>
      <c r="Q806" s="36"/>
      <c r="R806" s="36"/>
      <c r="S806" s="36"/>
      <c r="T806" s="36"/>
      <c r="U806" s="36"/>
      <c r="V806" s="36"/>
      <c r="W806" s="36"/>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row>
    <row r="807" spans="1:85" ht="12.75" x14ac:dyDescent="0.2">
      <c r="A807" s="28"/>
      <c r="B807" s="28"/>
      <c r="C807" s="28"/>
      <c r="D807" s="28"/>
      <c r="E807" s="28"/>
      <c r="F807" s="28"/>
      <c r="G807" s="28"/>
      <c r="H807" s="28"/>
      <c r="I807" s="28"/>
      <c r="J807" s="28"/>
      <c r="K807" s="36"/>
      <c r="L807" s="28"/>
      <c r="M807" s="28"/>
      <c r="N807" s="28"/>
      <c r="O807" s="28"/>
      <c r="P807" s="28"/>
      <c r="Q807" s="36"/>
      <c r="R807" s="36"/>
      <c r="S807" s="36"/>
      <c r="T807" s="36"/>
      <c r="U807" s="36"/>
      <c r="V807" s="36"/>
      <c r="W807" s="36"/>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c r="BE807" s="28"/>
      <c r="BF807" s="28"/>
      <c r="BG807" s="28"/>
      <c r="BH807" s="28"/>
      <c r="BI807" s="28"/>
      <c r="BJ807" s="28"/>
      <c r="BK807" s="28"/>
      <c r="BL807" s="28"/>
      <c r="BM807" s="28"/>
      <c r="BN807" s="28"/>
      <c r="BO807" s="28"/>
      <c r="BP807" s="28"/>
      <c r="BQ807" s="28"/>
      <c r="BR807" s="28"/>
      <c r="BS807" s="28"/>
      <c r="BT807" s="28"/>
      <c r="BU807" s="28"/>
      <c r="BV807" s="28"/>
      <c r="BW807" s="28"/>
      <c r="BX807" s="28"/>
      <c r="BY807" s="28"/>
      <c r="BZ807" s="28"/>
      <c r="CA807" s="28"/>
      <c r="CB807" s="28"/>
      <c r="CC807" s="28"/>
      <c r="CD807" s="28"/>
      <c r="CE807" s="28"/>
      <c r="CF807" s="28"/>
      <c r="CG807" s="28"/>
    </row>
    <row r="808" spans="1:85" ht="12.75" x14ac:dyDescent="0.2">
      <c r="A808" s="28"/>
      <c r="B808" s="28"/>
      <c r="C808" s="28"/>
      <c r="D808" s="28"/>
      <c r="E808" s="28"/>
      <c r="F808" s="28"/>
      <c r="G808" s="28"/>
      <c r="H808" s="28"/>
      <c r="I808" s="28"/>
      <c r="J808" s="28"/>
      <c r="K808" s="36"/>
      <c r="L808" s="28"/>
      <c r="M808" s="28"/>
      <c r="N808" s="28"/>
      <c r="O808" s="28"/>
      <c r="P808" s="28"/>
      <c r="Q808" s="36"/>
      <c r="R808" s="36"/>
      <c r="S808" s="36"/>
      <c r="T808" s="36"/>
      <c r="U808" s="36"/>
      <c r="V808" s="36"/>
      <c r="W808" s="36"/>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c r="BW808" s="28"/>
      <c r="BX808" s="28"/>
      <c r="BY808" s="28"/>
      <c r="BZ808" s="28"/>
      <c r="CA808" s="28"/>
      <c r="CB808" s="28"/>
      <c r="CC808" s="28"/>
      <c r="CD808" s="28"/>
      <c r="CE808" s="28"/>
      <c r="CF808" s="28"/>
      <c r="CG808" s="28"/>
    </row>
    <row r="809" spans="1:85" ht="12.75" x14ac:dyDescent="0.2">
      <c r="A809" s="28"/>
      <c r="B809" s="28"/>
      <c r="C809" s="28"/>
      <c r="D809" s="28"/>
      <c r="E809" s="28"/>
      <c r="F809" s="28"/>
      <c r="G809" s="28"/>
      <c r="H809" s="28"/>
      <c r="I809" s="28"/>
      <c r="J809" s="28"/>
      <c r="K809" s="36"/>
      <c r="L809" s="28"/>
      <c r="M809" s="28"/>
      <c r="N809" s="28"/>
      <c r="O809" s="28"/>
      <c r="P809" s="28"/>
      <c r="Q809" s="36"/>
      <c r="R809" s="36"/>
      <c r="S809" s="36"/>
      <c r="T809" s="36"/>
      <c r="U809" s="36"/>
      <c r="V809" s="36"/>
      <c r="W809" s="36"/>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c r="BE809" s="28"/>
      <c r="BF809" s="28"/>
      <c r="BG809" s="28"/>
      <c r="BH809" s="28"/>
      <c r="BI809" s="28"/>
      <c r="BJ809" s="28"/>
      <c r="BK809" s="28"/>
      <c r="BL809" s="28"/>
      <c r="BM809" s="28"/>
      <c r="BN809" s="28"/>
      <c r="BO809" s="28"/>
      <c r="BP809" s="28"/>
      <c r="BQ809" s="28"/>
      <c r="BR809" s="28"/>
      <c r="BS809" s="28"/>
      <c r="BT809" s="28"/>
      <c r="BU809" s="28"/>
      <c r="BV809" s="28"/>
      <c r="BW809" s="28"/>
      <c r="BX809" s="28"/>
      <c r="BY809" s="28"/>
      <c r="BZ809" s="28"/>
      <c r="CA809" s="28"/>
      <c r="CB809" s="28"/>
      <c r="CC809" s="28"/>
      <c r="CD809" s="28"/>
      <c r="CE809" s="28"/>
      <c r="CF809" s="28"/>
      <c r="CG809" s="28"/>
    </row>
    <row r="810" spans="1:85" ht="12.75" x14ac:dyDescent="0.2">
      <c r="A810" s="28"/>
      <c r="B810" s="28"/>
      <c r="C810" s="28"/>
      <c r="D810" s="28"/>
      <c r="E810" s="28"/>
      <c r="F810" s="28"/>
      <c r="G810" s="28"/>
      <c r="H810" s="28"/>
      <c r="I810" s="28"/>
      <c r="J810" s="28"/>
      <c r="K810" s="36"/>
      <c r="L810" s="28"/>
      <c r="M810" s="28"/>
      <c r="N810" s="28"/>
      <c r="O810" s="28"/>
      <c r="P810" s="28"/>
      <c r="Q810" s="36"/>
      <c r="R810" s="36"/>
      <c r="S810" s="36"/>
      <c r="T810" s="36"/>
      <c r="U810" s="36"/>
      <c r="V810" s="36"/>
      <c r="W810" s="36"/>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c r="BW810" s="28"/>
      <c r="BX810" s="28"/>
      <c r="BY810" s="28"/>
      <c r="BZ810" s="28"/>
      <c r="CA810" s="28"/>
      <c r="CB810" s="28"/>
      <c r="CC810" s="28"/>
      <c r="CD810" s="28"/>
      <c r="CE810" s="28"/>
      <c r="CF810" s="28"/>
      <c r="CG810" s="28"/>
    </row>
    <row r="811" spans="1:85" ht="12.75" x14ac:dyDescent="0.2">
      <c r="A811" s="28"/>
      <c r="B811" s="28"/>
      <c r="C811" s="28"/>
      <c r="D811" s="28"/>
      <c r="E811" s="28"/>
      <c r="F811" s="28"/>
      <c r="G811" s="28"/>
      <c r="H811" s="28"/>
      <c r="I811" s="28"/>
      <c r="J811" s="28"/>
      <c r="K811" s="36"/>
      <c r="L811" s="28"/>
      <c r="M811" s="28"/>
      <c r="N811" s="28"/>
      <c r="O811" s="28"/>
      <c r="P811" s="28"/>
      <c r="Q811" s="36"/>
      <c r="R811" s="36"/>
      <c r="S811" s="36"/>
      <c r="T811" s="36"/>
      <c r="U811" s="36"/>
      <c r="V811" s="36"/>
      <c r="W811" s="36"/>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c r="BE811" s="28"/>
      <c r="BF811" s="28"/>
      <c r="BG811" s="28"/>
      <c r="BH811" s="28"/>
      <c r="BI811" s="28"/>
      <c r="BJ811" s="28"/>
      <c r="BK811" s="28"/>
      <c r="BL811" s="28"/>
      <c r="BM811" s="28"/>
      <c r="BN811" s="28"/>
      <c r="BO811" s="28"/>
      <c r="BP811" s="28"/>
      <c r="BQ811" s="28"/>
      <c r="BR811" s="28"/>
      <c r="BS811" s="28"/>
      <c r="BT811" s="28"/>
      <c r="BU811" s="28"/>
      <c r="BV811" s="28"/>
      <c r="BW811" s="28"/>
      <c r="BX811" s="28"/>
      <c r="BY811" s="28"/>
      <c r="BZ811" s="28"/>
      <c r="CA811" s="28"/>
      <c r="CB811" s="28"/>
      <c r="CC811" s="28"/>
      <c r="CD811" s="28"/>
      <c r="CE811" s="28"/>
      <c r="CF811" s="28"/>
      <c r="CG811" s="28"/>
    </row>
    <row r="812" spans="1:85" ht="12.75" x14ac:dyDescent="0.2">
      <c r="A812" s="28"/>
      <c r="B812" s="28"/>
      <c r="C812" s="28"/>
      <c r="D812" s="28"/>
      <c r="E812" s="28"/>
      <c r="F812" s="28"/>
      <c r="G812" s="28"/>
      <c r="H812" s="28"/>
      <c r="I812" s="28"/>
      <c r="J812" s="28"/>
      <c r="K812" s="36"/>
      <c r="L812" s="28"/>
      <c r="M812" s="28"/>
      <c r="N812" s="28"/>
      <c r="O812" s="28"/>
      <c r="P812" s="28"/>
      <c r="Q812" s="36"/>
      <c r="R812" s="36"/>
      <c r="S812" s="36"/>
      <c r="T812" s="36"/>
      <c r="U812" s="36"/>
      <c r="V812" s="36"/>
      <c r="W812" s="36"/>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c r="BW812" s="28"/>
      <c r="BX812" s="28"/>
      <c r="BY812" s="28"/>
      <c r="BZ812" s="28"/>
      <c r="CA812" s="28"/>
      <c r="CB812" s="28"/>
      <c r="CC812" s="28"/>
      <c r="CD812" s="28"/>
      <c r="CE812" s="28"/>
      <c r="CF812" s="28"/>
      <c r="CG812" s="28"/>
    </row>
    <row r="813" spans="1:85" ht="12.75" x14ac:dyDescent="0.2">
      <c r="A813" s="28"/>
      <c r="B813" s="28"/>
      <c r="C813" s="28"/>
      <c r="D813" s="28"/>
      <c r="E813" s="28"/>
      <c r="F813" s="28"/>
      <c r="G813" s="28"/>
      <c r="H813" s="28"/>
      <c r="I813" s="28"/>
      <c r="J813" s="28"/>
      <c r="K813" s="36"/>
      <c r="L813" s="28"/>
      <c r="M813" s="28"/>
      <c r="N813" s="28"/>
      <c r="O813" s="28"/>
      <c r="P813" s="28"/>
      <c r="Q813" s="36"/>
      <c r="R813" s="36"/>
      <c r="S813" s="36"/>
      <c r="T813" s="36"/>
      <c r="U813" s="36"/>
      <c r="V813" s="36"/>
      <c r="W813" s="36"/>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c r="BE813" s="28"/>
      <c r="BF813" s="28"/>
      <c r="BG813" s="28"/>
      <c r="BH813" s="28"/>
      <c r="BI813" s="28"/>
      <c r="BJ813" s="28"/>
      <c r="BK813" s="28"/>
      <c r="BL813" s="28"/>
      <c r="BM813" s="28"/>
      <c r="BN813" s="28"/>
      <c r="BO813" s="28"/>
      <c r="BP813" s="28"/>
      <c r="BQ813" s="28"/>
      <c r="BR813" s="28"/>
      <c r="BS813" s="28"/>
      <c r="BT813" s="28"/>
      <c r="BU813" s="28"/>
      <c r="BV813" s="28"/>
      <c r="BW813" s="28"/>
      <c r="BX813" s="28"/>
      <c r="BY813" s="28"/>
      <c r="BZ813" s="28"/>
      <c r="CA813" s="28"/>
      <c r="CB813" s="28"/>
      <c r="CC813" s="28"/>
      <c r="CD813" s="28"/>
      <c r="CE813" s="28"/>
      <c r="CF813" s="28"/>
      <c r="CG813" s="28"/>
    </row>
    <row r="814" spans="1:85" ht="12.75" x14ac:dyDescent="0.2">
      <c r="A814" s="28"/>
      <c r="B814" s="28"/>
      <c r="C814" s="28"/>
      <c r="D814" s="28"/>
      <c r="E814" s="28"/>
      <c r="F814" s="28"/>
      <c r="G814" s="28"/>
      <c r="H814" s="28"/>
      <c r="I814" s="28"/>
      <c r="J814" s="28"/>
      <c r="K814" s="36"/>
      <c r="L814" s="28"/>
      <c r="M814" s="28"/>
      <c r="N814" s="28"/>
      <c r="O814" s="28"/>
      <c r="P814" s="28"/>
      <c r="Q814" s="36"/>
      <c r="R814" s="36"/>
      <c r="S814" s="36"/>
      <c r="T814" s="36"/>
      <c r="U814" s="36"/>
      <c r="V814" s="36"/>
      <c r="W814" s="36"/>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c r="BW814" s="28"/>
      <c r="BX814" s="28"/>
      <c r="BY814" s="28"/>
      <c r="BZ814" s="28"/>
      <c r="CA814" s="28"/>
      <c r="CB814" s="28"/>
      <c r="CC814" s="28"/>
      <c r="CD814" s="28"/>
      <c r="CE814" s="28"/>
      <c r="CF814" s="28"/>
      <c r="CG814" s="28"/>
    </row>
    <row r="815" spans="1:85" ht="12.75" x14ac:dyDescent="0.2">
      <c r="A815" s="28"/>
      <c r="B815" s="28"/>
      <c r="C815" s="28"/>
      <c r="D815" s="28"/>
      <c r="E815" s="28"/>
      <c r="F815" s="28"/>
      <c r="G815" s="28"/>
      <c r="H815" s="28"/>
      <c r="I815" s="28"/>
      <c r="J815" s="28"/>
      <c r="K815" s="36"/>
      <c r="L815" s="28"/>
      <c r="M815" s="28"/>
      <c r="N815" s="28"/>
      <c r="O815" s="28"/>
      <c r="P815" s="28"/>
      <c r="Q815" s="36"/>
      <c r="R815" s="36"/>
      <c r="S815" s="36"/>
      <c r="T815" s="36"/>
      <c r="U815" s="36"/>
      <c r="V815" s="36"/>
      <c r="W815" s="36"/>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c r="BE815" s="28"/>
      <c r="BF815" s="28"/>
      <c r="BG815" s="28"/>
      <c r="BH815" s="28"/>
      <c r="BI815" s="28"/>
      <c r="BJ815" s="28"/>
      <c r="BK815" s="28"/>
      <c r="BL815" s="28"/>
      <c r="BM815" s="28"/>
      <c r="BN815" s="28"/>
      <c r="BO815" s="28"/>
      <c r="BP815" s="28"/>
      <c r="BQ815" s="28"/>
      <c r="BR815" s="28"/>
      <c r="BS815" s="28"/>
      <c r="BT815" s="28"/>
      <c r="BU815" s="28"/>
      <c r="BV815" s="28"/>
      <c r="BW815" s="28"/>
      <c r="BX815" s="28"/>
      <c r="BY815" s="28"/>
      <c r="BZ815" s="28"/>
      <c r="CA815" s="28"/>
      <c r="CB815" s="28"/>
      <c r="CC815" s="28"/>
      <c r="CD815" s="28"/>
      <c r="CE815" s="28"/>
      <c r="CF815" s="28"/>
      <c r="CG815" s="28"/>
    </row>
    <row r="816" spans="1:85" ht="12.75" x14ac:dyDescent="0.2">
      <c r="A816" s="28"/>
      <c r="B816" s="28"/>
      <c r="C816" s="28"/>
      <c r="D816" s="28"/>
      <c r="E816" s="28"/>
      <c r="F816" s="28"/>
      <c r="G816" s="28"/>
      <c r="H816" s="28"/>
      <c r="I816" s="28"/>
      <c r="J816" s="28"/>
      <c r="K816" s="36"/>
      <c r="L816" s="28"/>
      <c r="M816" s="28"/>
      <c r="N816" s="28"/>
      <c r="O816" s="28"/>
      <c r="P816" s="28"/>
      <c r="Q816" s="36"/>
      <c r="R816" s="36"/>
      <c r="S816" s="36"/>
      <c r="T816" s="36"/>
      <c r="U816" s="36"/>
      <c r="V816" s="36"/>
      <c r="W816" s="36"/>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c r="BW816" s="28"/>
      <c r="BX816" s="28"/>
      <c r="BY816" s="28"/>
      <c r="BZ816" s="28"/>
      <c r="CA816" s="28"/>
      <c r="CB816" s="28"/>
      <c r="CC816" s="28"/>
      <c r="CD816" s="28"/>
      <c r="CE816" s="28"/>
      <c r="CF816" s="28"/>
      <c r="CG816" s="28"/>
    </row>
    <row r="817" spans="1:85" ht="12.75" x14ac:dyDescent="0.2">
      <c r="A817" s="28"/>
      <c r="B817" s="28"/>
      <c r="C817" s="28"/>
      <c r="D817" s="28"/>
      <c r="E817" s="28"/>
      <c r="F817" s="28"/>
      <c r="G817" s="28"/>
      <c r="H817" s="28"/>
      <c r="I817" s="28"/>
      <c r="J817" s="28"/>
      <c r="K817" s="36"/>
      <c r="L817" s="28"/>
      <c r="M817" s="28"/>
      <c r="N817" s="28"/>
      <c r="O817" s="28"/>
      <c r="P817" s="28"/>
      <c r="Q817" s="36"/>
      <c r="R817" s="36"/>
      <c r="S817" s="36"/>
      <c r="T817" s="36"/>
      <c r="U817" s="36"/>
      <c r="V817" s="36"/>
      <c r="W817" s="36"/>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c r="BE817" s="28"/>
      <c r="BF817" s="28"/>
      <c r="BG817" s="28"/>
      <c r="BH817" s="28"/>
      <c r="BI817" s="28"/>
      <c r="BJ817" s="28"/>
      <c r="BK817" s="28"/>
      <c r="BL817" s="28"/>
      <c r="BM817" s="28"/>
      <c r="BN817" s="28"/>
      <c r="BO817" s="28"/>
      <c r="BP817" s="28"/>
      <c r="BQ817" s="28"/>
      <c r="BR817" s="28"/>
      <c r="BS817" s="28"/>
      <c r="BT817" s="28"/>
      <c r="BU817" s="28"/>
      <c r="BV817" s="28"/>
      <c r="BW817" s="28"/>
      <c r="BX817" s="28"/>
      <c r="BY817" s="28"/>
      <c r="BZ817" s="28"/>
      <c r="CA817" s="28"/>
      <c r="CB817" s="28"/>
      <c r="CC817" s="28"/>
      <c r="CD817" s="28"/>
      <c r="CE817" s="28"/>
      <c r="CF817" s="28"/>
      <c r="CG817" s="28"/>
    </row>
    <row r="818" spans="1:85" ht="12.75" x14ac:dyDescent="0.2">
      <c r="A818" s="28"/>
      <c r="B818" s="28"/>
      <c r="C818" s="28"/>
      <c r="D818" s="28"/>
      <c r="E818" s="28"/>
      <c r="F818" s="28"/>
      <c r="G818" s="28"/>
      <c r="H818" s="28"/>
      <c r="I818" s="28"/>
      <c r="J818" s="28"/>
      <c r="K818" s="36"/>
      <c r="L818" s="28"/>
      <c r="M818" s="28"/>
      <c r="N818" s="28"/>
      <c r="O818" s="28"/>
      <c r="P818" s="28"/>
      <c r="Q818" s="36"/>
      <c r="R818" s="36"/>
      <c r="S818" s="36"/>
      <c r="T818" s="36"/>
      <c r="U818" s="36"/>
      <c r="V818" s="36"/>
      <c r="W818" s="36"/>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c r="BW818" s="28"/>
      <c r="BX818" s="28"/>
      <c r="BY818" s="28"/>
      <c r="BZ818" s="28"/>
      <c r="CA818" s="28"/>
      <c r="CB818" s="28"/>
      <c r="CC818" s="28"/>
      <c r="CD818" s="28"/>
      <c r="CE818" s="28"/>
      <c r="CF818" s="28"/>
      <c r="CG818" s="28"/>
    </row>
    <row r="819" spans="1:85" ht="12.75" x14ac:dyDescent="0.2">
      <c r="A819" s="28"/>
      <c r="B819" s="28"/>
      <c r="C819" s="28"/>
      <c r="D819" s="28"/>
      <c r="E819" s="28"/>
      <c r="F819" s="28"/>
      <c r="G819" s="28"/>
      <c r="H819" s="28"/>
      <c r="I819" s="28"/>
      <c r="J819" s="28"/>
      <c r="K819" s="36"/>
      <c r="L819" s="28"/>
      <c r="M819" s="28"/>
      <c r="N819" s="28"/>
      <c r="O819" s="28"/>
      <c r="P819" s="28"/>
      <c r="Q819" s="36"/>
      <c r="R819" s="36"/>
      <c r="S819" s="36"/>
      <c r="T819" s="36"/>
      <c r="U819" s="36"/>
      <c r="V819" s="36"/>
      <c r="W819" s="36"/>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c r="BE819" s="28"/>
      <c r="BF819" s="28"/>
      <c r="BG819" s="28"/>
      <c r="BH819" s="28"/>
      <c r="BI819" s="28"/>
      <c r="BJ819" s="28"/>
      <c r="BK819" s="28"/>
      <c r="BL819" s="28"/>
      <c r="BM819" s="28"/>
      <c r="BN819" s="28"/>
      <c r="BO819" s="28"/>
      <c r="BP819" s="28"/>
      <c r="BQ819" s="28"/>
      <c r="BR819" s="28"/>
      <c r="BS819" s="28"/>
      <c r="BT819" s="28"/>
      <c r="BU819" s="28"/>
      <c r="BV819" s="28"/>
      <c r="BW819" s="28"/>
      <c r="BX819" s="28"/>
      <c r="BY819" s="28"/>
      <c r="BZ819" s="28"/>
      <c r="CA819" s="28"/>
      <c r="CB819" s="28"/>
      <c r="CC819" s="28"/>
      <c r="CD819" s="28"/>
      <c r="CE819" s="28"/>
      <c r="CF819" s="28"/>
      <c r="CG819" s="28"/>
    </row>
    <row r="820" spans="1:85" ht="12.75" x14ac:dyDescent="0.2">
      <c r="A820" s="28"/>
      <c r="B820" s="28"/>
      <c r="C820" s="28"/>
      <c r="D820" s="28"/>
      <c r="E820" s="28"/>
      <c r="F820" s="28"/>
      <c r="G820" s="28"/>
      <c r="H820" s="28"/>
      <c r="I820" s="28"/>
      <c r="J820" s="28"/>
      <c r="K820" s="36"/>
      <c r="L820" s="28"/>
      <c r="M820" s="28"/>
      <c r="N820" s="28"/>
      <c r="O820" s="28"/>
      <c r="P820" s="28"/>
      <c r="Q820" s="36"/>
      <c r="R820" s="36"/>
      <c r="S820" s="36"/>
      <c r="T820" s="36"/>
      <c r="U820" s="36"/>
      <c r="V820" s="36"/>
      <c r="W820" s="36"/>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c r="BW820" s="28"/>
      <c r="BX820" s="28"/>
      <c r="BY820" s="28"/>
      <c r="BZ820" s="28"/>
      <c r="CA820" s="28"/>
      <c r="CB820" s="28"/>
      <c r="CC820" s="28"/>
      <c r="CD820" s="28"/>
      <c r="CE820" s="28"/>
      <c r="CF820" s="28"/>
      <c r="CG820" s="28"/>
    </row>
    <row r="821" spans="1:85" ht="12.75" x14ac:dyDescent="0.2">
      <c r="A821" s="28"/>
      <c r="B821" s="28"/>
      <c r="C821" s="28"/>
      <c r="D821" s="28"/>
      <c r="E821" s="28"/>
      <c r="F821" s="28"/>
      <c r="G821" s="28"/>
      <c r="H821" s="28"/>
      <c r="I821" s="28"/>
      <c r="J821" s="28"/>
      <c r="K821" s="36"/>
      <c r="L821" s="28"/>
      <c r="M821" s="28"/>
      <c r="N821" s="28"/>
      <c r="O821" s="28"/>
      <c r="P821" s="28"/>
      <c r="Q821" s="36"/>
      <c r="R821" s="36"/>
      <c r="S821" s="36"/>
      <c r="T821" s="36"/>
      <c r="U821" s="36"/>
      <c r="V821" s="36"/>
      <c r="W821" s="36"/>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c r="BE821" s="28"/>
      <c r="BF821" s="28"/>
      <c r="BG821" s="28"/>
      <c r="BH821" s="28"/>
      <c r="BI821" s="28"/>
      <c r="BJ821" s="28"/>
      <c r="BK821" s="28"/>
      <c r="BL821" s="28"/>
      <c r="BM821" s="28"/>
      <c r="BN821" s="28"/>
      <c r="BO821" s="28"/>
      <c r="BP821" s="28"/>
      <c r="BQ821" s="28"/>
      <c r="BR821" s="28"/>
      <c r="BS821" s="28"/>
      <c r="BT821" s="28"/>
      <c r="BU821" s="28"/>
      <c r="BV821" s="28"/>
      <c r="BW821" s="28"/>
      <c r="BX821" s="28"/>
      <c r="BY821" s="28"/>
      <c r="BZ821" s="28"/>
      <c r="CA821" s="28"/>
      <c r="CB821" s="28"/>
      <c r="CC821" s="28"/>
      <c r="CD821" s="28"/>
      <c r="CE821" s="28"/>
      <c r="CF821" s="28"/>
      <c r="CG821" s="28"/>
    </row>
    <row r="822" spans="1:85" ht="12.75" x14ac:dyDescent="0.2">
      <c r="A822" s="28"/>
      <c r="B822" s="28"/>
      <c r="C822" s="28"/>
      <c r="D822" s="28"/>
      <c r="E822" s="28"/>
      <c r="F822" s="28"/>
      <c r="G822" s="28"/>
      <c r="H822" s="28"/>
      <c r="I822" s="28"/>
      <c r="J822" s="28"/>
      <c r="K822" s="36"/>
      <c r="L822" s="28"/>
      <c r="M822" s="28"/>
      <c r="N822" s="28"/>
      <c r="O822" s="28"/>
      <c r="P822" s="28"/>
      <c r="Q822" s="36"/>
      <c r="R822" s="36"/>
      <c r="S822" s="36"/>
      <c r="T822" s="36"/>
      <c r="U822" s="36"/>
      <c r="V822" s="36"/>
      <c r="W822" s="36"/>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c r="BW822" s="28"/>
      <c r="BX822" s="28"/>
      <c r="BY822" s="28"/>
      <c r="BZ822" s="28"/>
      <c r="CA822" s="28"/>
      <c r="CB822" s="28"/>
      <c r="CC822" s="28"/>
      <c r="CD822" s="28"/>
      <c r="CE822" s="28"/>
      <c r="CF822" s="28"/>
      <c r="CG822" s="28"/>
    </row>
    <row r="823" spans="1:85" ht="12.75" x14ac:dyDescent="0.2">
      <c r="A823" s="28"/>
      <c r="B823" s="28"/>
      <c r="C823" s="28"/>
      <c r="D823" s="28"/>
      <c r="E823" s="28"/>
      <c r="F823" s="28"/>
      <c r="G823" s="28"/>
      <c r="H823" s="28"/>
      <c r="I823" s="28"/>
      <c r="J823" s="28"/>
      <c r="K823" s="36"/>
      <c r="L823" s="28"/>
      <c r="M823" s="28"/>
      <c r="N823" s="28"/>
      <c r="O823" s="28"/>
      <c r="P823" s="28"/>
      <c r="Q823" s="36"/>
      <c r="R823" s="36"/>
      <c r="S823" s="36"/>
      <c r="T823" s="36"/>
      <c r="U823" s="36"/>
      <c r="V823" s="36"/>
      <c r="W823" s="36"/>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c r="BE823" s="28"/>
      <c r="BF823" s="28"/>
      <c r="BG823" s="28"/>
      <c r="BH823" s="28"/>
      <c r="BI823" s="28"/>
      <c r="BJ823" s="28"/>
      <c r="BK823" s="28"/>
      <c r="BL823" s="28"/>
      <c r="BM823" s="28"/>
      <c r="BN823" s="28"/>
      <c r="BO823" s="28"/>
      <c r="BP823" s="28"/>
      <c r="BQ823" s="28"/>
      <c r="BR823" s="28"/>
      <c r="BS823" s="28"/>
      <c r="BT823" s="28"/>
      <c r="BU823" s="28"/>
      <c r="BV823" s="28"/>
      <c r="BW823" s="28"/>
      <c r="BX823" s="28"/>
      <c r="BY823" s="28"/>
      <c r="BZ823" s="28"/>
      <c r="CA823" s="28"/>
      <c r="CB823" s="28"/>
      <c r="CC823" s="28"/>
      <c r="CD823" s="28"/>
      <c r="CE823" s="28"/>
      <c r="CF823" s="28"/>
      <c r="CG823" s="28"/>
    </row>
    <row r="824" spans="1:85" ht="12.75" x14ac:dyDescent="0.2">
      <c r="A824" s="28"/>
      <c r="B824" s="28"/>
      <c r="C824" s="28"/>
      <c r="D824" s="28"/>
      <c r="E824" s="28"/>
      <c r="F824" s="28"/>
      <c r="G824" s="28"/>
      <c r="H824" s="28"/>
      <c r="I824" s="28"/>
      <c r="J824" s="28"/>
      <c r="K824" s="36"/>
      <c r="L824" s="28"/>
      <c r="M824" s="28"/>
      <c r="N824" s="28"/>
      <c r="O824" s="28"/>
      <c r="P824" s="28"/>
      <c r="Q824" s="36"/>
      <c r="R824" s="36"/>
      <c r="S824" s="36"/>
      <c r="T824" s="36"/>
      <c r="U824" s="36"/>
      <c r="V824" s="36"/>
      <c r="W824" s="36"/>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c r="BW824" s="28"/>
      <c r="BX824" s="28"/>
      <c r="BY824" s="28"/>
      <c r="BZ824" s="28"/>
      <c r="CA824" s="28"/>
      <c r="CB824" s="28"/>
      <c r="CC824" s="28"/>
      <c r="CD824" s="28"/>
      <c r="CE824" s="28"/>
      <c r="CF824" s="28"/>
      <c r="CG824" s="28"/>
    </row>
    <row r="825" spans="1:85" ht="12.75" x14ac:dyDescent="0.2">
      <c r="A825" s="28"/>
      <c r="B825" s="28"/>
      <c r="C825" s="28"/>
      <c r="D825" s="28"/>
      <c r="E825" s="28"/>
      <c r="F825" s="28"/>
      <c r="G825" s="28"/>
      <c r="H825" s="28"/>
      <c r="I825" s="28"/>
      <c r="J825" s="28"/>
      <c r="K825" s="36"/>
      <c r="L825" s="28"/>
      <c r="M825" s="28"/>
      <c r="N825" s="28"/>
      <c r="O825" s="28"/>
      <c r="P825" s="28"/>
      <c r="Q825" s="36"/>
      <c r="R825" s="36"/>
      <c r="S825" s="36"/>
      <c r="T825" s="36"/>
      <c r="U825" s="36"/>
      <c r="V825" s="36"/>
      <c r="W825" s="36"/>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c r="BE825" s="28"/>
      <c r="BF825" s="28"/>
      <c r="BG825" s="28"/>
      <c r="BH825" s="28"/>
      <c r="BI825" s="28"/>
      <c r="BJ825" s="28"/>
      <c r="BK825" s="28"/>
      <c r="BL825" s="28"/>
      <c r="BM825" s="28"/>
      <c r="BN825" s="28"/>
      <c r="BO825" s="28"/>
      <c r="BP825" s="28"/>
      <c r="BQ825" s="28"/>
      <c r="BR825" s="28"/>
      <c r="BS825" s="28"/>
      <c r="BT825" s="28"/>
      <c r="BU825" s="28"/>
      <c r="BV825" s="28"/>
      <c r="BW825" s="28"/>
      <c r="BX825" s="28"/>
      <c r="BY825" s="28"/>
      <c r="BZ825" s="28"/>
      <c r="CA825" s="28"/>
      <c r="CB825" s="28"/>
      <c r="CC825" s="28"/>
      <c r="CD825" s="28"/>
      <c r="CE825" s="28"/>
      <c r="CF825" s="28"/>
      <c r="CG825" s="28"/>
    </row>
    <row r="826" spans="1:85" ht="12.75" x14ac:dyDescent="0.2">
      <c r="A826" s="28"/>
      <c r="B826" s="28"/>
      <c r="C826" s="28"/>
      <c r="D826" s="28"/>
      <c r="E826" s="28"/>
      <c r="F826" s="28"/>
      <c r="G826" s="28"/>
      <c r="H826" s="28"/>
      <c r="I826" s="28"/>
      <c r="J826" s="28"/>
      <c r="K826" s="36"/>
      <c r="L826" s="28"/>
      <c r="M826" s="28"/>
      <c r="N826" s="28"/>
      <c r="O826" s="28"/>
      <c r="P826" s="28"/>
      <c r="Q826" s="36"/>
      <c r="R826" s="36"/>
      <c r="S826" s="36"/>
      <c r="T826" s="36"/>
      <c r="U826" s="36"/>
      <c r="V826" s="36"/>
      <c r="W826" s="36"/>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c r="BW826" s="28"/>
      <c r="BX826" s="28"/>
      <c r="BY826" s="28"/>
      <c r="BZ826" s="28"/>
      <c r="CA826" s="28"/>
      <c r="CB826" s="28"/>
      <c r="CC826" s="28"/>
      <c r="CD826" s="28"/>
      <c r="CE826" s="28"/>
      <c r="CF826" s="28"/>
      <c r="CG826" s="28"/>
    </row>
    <row r="827" spans="1:85" ht="12.75" x14ac:dyDescent="0.2">
      <c r="A827" s="28"/>
      <c r="B827" s="28"/>
      <c r="C827" s="28"/>
      <c r="D827" s="28"/>
      <c r="E827" s="28"/>
      <c r="F827" s="28"/>
      <c r="G827" s="28"/>
      <c r="H827" s="28"/>
      <c r="I827" s="28"/>
      <c r="J827" s="28"/>
      <c r="K827" s="36"/>
      <c r="L827" s="28"/>
      <c r="M827" s="28"/>
      <c r="N827" s="28"/>
      <c r="O827" s="28"/>
      <c r="P827" s="28"/>
      <c r="Q827" s="36"/>
      <c r="R827" s="36"/>
      <c r="S827" s="36"/>
      <c r="T827" s="36"/>
      <c r="U827" s="36"/>
      <c r="V827" s="36"/>
      <c r="W827" s="36"/>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c r="BE827" s="28"/>
      <c r="BF827" s="28"/>
      <c r="BG827" s="28"/>
      <c r="BH827" s="28"/>
      <c r="BI827" s="28"/>
      <c r="BJ827" s="28"/>
      <c r="BK827" s="28"/>
      <c r="BL827" s="28"/>
      <c r="BM827" s="28"/>
      <c r="BN827" s="28"/>
      <c r="BO827" s="28"/>
      <c r="BP827" s="28"/>
      <c r="BQ827" s="28"/>
      <c r="BR827" s="28"/>
      <c r="BS827" s="28"/>
      <c r="BT827" s="28"/>
      <c r="BU827" s="28"/>
      <c r="BV827" s="28"/>
      <c r="BW827" s="28"/>
      <c r="BX827" s="28"/>
      <c r="BY827" s="28"/>
      <c r="BZ827" s="28"/>
      <c r="CA827" s="28"/>
      <c r="CB827" s="28"/>
      <c r="CC827" s="28"/>
      <c r="CD827" s="28"/>
      <c r="CE827" s="28"/>
      <c r="CF827" s="28"/>
      <c r="CG827" s="28"/>
    </row>
    <row r="828" spans="1:85" ht="12.75" x14ac:dyDescent="0.2">
      <c r="A828" s="28"/>
      <c r="B828" s="28"/>
      <c r="C828" s="28"/>
      <c r="D828" s="28"/>
      <c r="E828" s="28"/>
      <c r="F828" s="28"/>
      <c r="G828" s="28"/>
      <c r="H828" s="28"/>
      <c r="I828" s="28"/>
      <c r="J828" s="28"/>
      <c r="K828" s="36"/>
      <c r="L828" s="28"/>
      <c r="M828" s="28"/>
      <c r="N828" s="28"/>
      <c r="O828" s="28"/>
      <c r="P828" s="28"/>
      <c r="Q828" s="36"/>
      <c r="R828" s="36"/>
      <c r="S828" s="36"/>
      <c r="T828" s="36"/>
      <c r="U828" s="36"/>
      <c r="V828" s="36"/>
      <c r="W828" s="36"/>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c r="BW828" s="28"/>
      <c r="BX828" s="28"/>
      <c r="BY828" s="28"/>
      <c r="BZ828" s="28"/>
      <c r="CA828" s="28"/>
      <c r="CB828" s="28"/>
      <c r="CC828" s="28"/>
      <c r="CD828" s="28"/>
      <c r="CE828" s="28"/>
      <c r="CF828" s="28"/>
      <c r="CG828" s="28"/>
    </row>
    <row r="829" spans="1:85" ht="12.75" x14ac:dyDescent="0.2">
      <c r="A829" s="28"/>
      <c r="B829" s="28"/>
      <c r="C829" s="28"/>
      <c r="D829" s="28"/>
      <c r="E829" s="28"/>
      <c r="F829" s="28"/>
      <c r="G829" s="28"/>
      <c r="H829" s="28"/>
      <c r="I829" s="28"/>
      <c r="J829" s="28"/>
      <c r="K829" s="36"/>
      <c r="L829" s="28"/>
      <c r="M829" s="28"/>
      <c r="N829" s="28"/>
      <c r="O829" s="28"/>
      <c r="P829" s="28"/>
      <c r="Q829" s="36"/>
      <c r="R829" s="36"/>
      <c r="S829" s="36"/>
      <c r="T829" s="36"/>
      <c r="U829" s="36"/>
      <c r="V829" s="36"/>
      <c r="W829" s="36"/>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c r="BE829" s="28"/>
      <c r="BF829" s="28"/>
      <c r="BG829" s="28"/>
      <c r="BH829" s="28"/>
      <c r="BI829" s="28"/>
      <c r="BJ829" s="28"/>
      <c r="BK829" s="28"/>
      <c r="BL829" s="28"/>
      <c r="BM829" s="28"/>
      <c r="BN829" s="28"/>
      <c r="BO829" s="28"/>
      <c r="BP829" s="28"/>
      <c r="BQ829" s="28"/>
      <c r="BR829" s="28"/>
      <c r="BS829" s="28"/>
      <c r="BT829" s="28"/>
      <c r="BU829" s="28"/>
      <c r="BV829" s="28"/>
      <c r="BW829" s="28"/>
      <c r="BX829" s="28"/>
      <c r="BY829" s="28"/>
      <c r="BZ829" s="28"/>
      <c r="CA829" s="28"/>
      <c r="CB829" s="28"/>
      <c r="CC829" s="28"/>
      <c r="CD829" s="28"/>
      <c r="CE829" s="28"/>
      <c r="CF829" s="28"/>
      <c r="CG829" s="28"/>
    </row>
    <row r="830" spans="1:85" ht="12.75" x14ac:dyDescent="0.2">
      <c r="A830" s="28"/>
      <c r="B830" s="28"/>
      <c r="C830" s="28"/>
      <c r="D830" s="28"/>
      <c r="E830" s="28"/>
      <c r="F830" s="28"/>
      <c r="G830" s="28"/>
      <c r="H830" s="28"/>
      <c r="I830" s="28"/>
      <c r="J830" s="28"/>
      <c r="K830" s="36"/>
      <c r="L830" s="28"/>
      <c r="M830" s="28"/>
      <c r="N830" s="28"/>
      <c r="O830" s="28"/>
      <c r="P830" s="28"/>
      <c r="Q830" s="36"/>
      <c r="R830" s="36"/>
      <c r="S830" s="36"/>
      <c r="T830" s="36"/>
      <c r="U830" s="36"/>
      <c r="V830" s="36"/>
      <c r="W830" s="36"/>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c r="BW830" s="28"/>
      <c r="BX830" s="28"/>
      <c r="BY830" s="28"/>
      <c r="BZ830" s="28"/>
      <c r="CA830" s="28"/>
      <c r="CB830" s="28"/>
      <c r="CC830" s="28"/>
      <c r="CD830" s="28"/>
      <c r="CE830" s="28"/>
      <c r="CF830" s="28"/>
      <c r="CG830" s="28"/>
    </row>
    <row r="831" spans="1:85" ht="12.75" x14ac:dyDescent="0.2">
      <c r="A831" s="28"/>
      <c r="B831" s="28"/>
      <c r="C831" s="28"/>
      <c r="D831" s="28"/>
      <c r="E831" s="28"/>
      <c r="F831" s="28"/>
      <c r="G831" s="28"/>
      <c r="H831" s="28"/>
      <c r="I831" s="28"/>
      <c r="J831" s="28"/>
      <c r="K831" s="36"/>
      <c r="L831" s="28"/>
      <c r="M831" s="28"/>
      <c r="N831" s="28"/>
      <c r="O831" s="28"/>
      <c r="P831" s="28"/>
      <c r="Q831" s="36"/>
      <c r="R831" s="36"/>
      <c r="S831" s="36"/>
      <c r="T831" s="36"/>
      <c r="U831" s="36"/>
      <c r="V831" s="36"/>
      <c r="W831" s="36"/>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c r="BE831" s="28"/>
      <c r="BF831" s="28"/>
      <c r="BG831" s="28"/>
      <c r="BH831" s="28"/>
      <c r="BI831" s="28"/>
      <c r="BJ831" s="28"/>
      <c r="BK831" s="28"/>
      <c r="BL831" s="28"/>
      <c r="BM831" s="28"/>
      <c r="BN831" s="28"/>
      <c r="BO831" s="28"/>
      <c r="BP831" s="28"/>
      <c r="BQ831" s="28"/>
      <c r="BR831" s="28"/>
      <c r="BS831" s="28"/>
      <c r="BT831" s="28"/>
      <c r="BU831" s="28"/>
      <c r="BV831" s="28"/>
      <c r="BW831" s="28"/>
      <c r="BX831" s="28"/>
      <c r="BY831" s="28"/>
      <c r="BZ831" s="28"/>
      <c r="CA831" s="28"/>
      <c r="CB831" s="28"/>
      <c r="CC831" s="28"/>
      <c r="CD831" s="28"/>
      <c r="CE831" s="28"/>
      <c r="CF831" s="28"/>
      <c r="CG831" s="28"/>
    </row>
    <row r="832" spans="1:85" ht="12.75" x14ac:dyDescent="0.2">
      <c r="A832" s="28"/>
      <c r="B832" s="28"/>
      <c r="C832" s="28"/>
      <c r="D832" s="28"/>
      <c r="E832" s="28"/>
      <c r="F832" s="28"/>
      <c r="G832" s="28"/>
      <c r="H832" s="28"/>
      <c r="I832" s="28"/>
      <c r="J832" s="28"/>
      <c r="K832" s="36"/>
      <c r="L832" s="28"/>
      <c r="M832" s="28"/>
      <c r="N832" s="28"/>
      <c r="O832" s="28"/>
      <c r="P832" s="28"/>
      <c r="Q832" s="36"/>
      <c r="R832" s="36"/>
      <c r="S832" s="36"/>
      <c r="T832" s="36"/>
      <c r="U832" s="36"/>
      <c r="V832" s="36"/>
      <c r="W832" s="36"/>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c r="BW832" s="28"/>
      <c r="BX832" s="28"/>
      <c r="BY832" s="28"/>
      <c r="BZ832" s="28"/>
      <c r="CA832" s="28"/>
      <c r="CB832" s="28"/>
      <c r="CC832" s="28"/>
      <c r="CD832" s="28"/>
      <c r="CE832" s="28"/>
      <c r="CF832" s="28"/>
      <c r="CG832" s="28"/>
    </row>
    <row r="833" spans="1:85" ht="12.75" x14ac:dyDescent="0.2">
      <c r="A833" s="28"/>
      <c r="B833" s="28"/>
      <c r="C833" s="28"/>
      <c r="D833" s="28"/>
      <c r="E833" s="28"/>
      <c r="F833" s="28"/>
      <c r="G833" s="28"/>
      <c r="H833" s="28"/>
      <c r="I833" s="28"/>
      <c r="J833" s="28"/>
      <c r="K833" s="36"/>
      <c r="L833" s="28"/>
      <c r="M833" s="28"/>
      <c r="N833" s="28"/>
      <c r="O833" s="28"/>
      <c r="P833" s="28"/>
      <c r="Q833" s="36"/>
      <c r="R833" s="36"/>
      <c r="S833" s="36"/>
      <c r="T833" s="36"/>
      <c r="U833" s="36"/>
      <c r="V833" s="36"/>
      <c r="W833" s="36"/>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c r="BE833" s="28"/>
      <c r="BF833" s="28"/>
      <c r="BG833" s="28"/>
      <c r="BH833" s="28"/>
      <c r="BI833" s="28"/>
      <c r="BJ833" s="28"/>
      <c r="BK833" s="28"/>
      <c r="BL833" s="28"/>
      <c r="BM833" s="28"/>
      <c r="BN833" s="28"/>
      <c r="BO833" s="28"/>
      <c r="BP833" s="28"/>
      <c r="BQ833" s="28"/>
      <c r="BR833" s="28"/>
      <c r="BS833" s="28"/>
      <c r="BT833" s="28"/>
      <c r="BU833" s="28"/>
      <c r="BV833" s="28"/>
      <c r="BW833" s="28"/>
      <c r="BX833" s="28"/>
      <c r="BY833" s="28"/>
      <c r="BZ833" s="28"/>
      <c r="CA833" s="28"/>
      <c r="CB833" s="28"/>
      <c r="CC833" s="28"/>
      <c r="CD833" s="28"/>
      <c r="CE833" s="28"/>
      <c r="CF833" s="28"/>
      <c r="CG833" s="28"/>
    </row>
    <row r="834" spans="1:85" ht="12.75" x14ac:dyDescent="0.2">
      <c r="A834" s="28"/>
      <c r="B834" s="28"/>
      <c r="C834" s="28"/>
      <c r="D834" s="28"/>
      <c r="E834" s="28"/>
      <c r="F834" s="28"/>
      <c r="G834" s="28"/>
      <c r="H834" s="28"/>
      <c r="I834" s="28"/>
      <c r="J834" s="28"/>
      <c r="K834" s="36"/>
      <c r="L834" s="28"/>
      <c r="M834" s="28"/>
      <c r="N834" s="28"/>
      <c r="O834" s="28"/>
      <c r="P834" s="28"/>
      <c r="Q834" s="36"/>
      <c r="R834" s="36"/>
      <c r="S834" s="36"/>
      <c r="T834" s="36"/>
      <c r="U834" s="36"/>
      <c r="V834" s="36"/>
      <c r="W834" s="36"/>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c r="BW834" s="28"/>
      <c r="BX834" s="28"/>
      <c r="BY834" s="28"/>
      <c r="BZ834" s="28"/>
      <c r="CA834" s="28"/>
      <c r="CB834" s="28"/>
      <c r="CC834" s="28"/>
      <c r="CD834" s="28"/>
      <c r="CE834" s="28"/>
      <c r="CF834" s="28"/>
      <c r="CG834" s="28"/>
    </row>
    <row r="835" spans="1:85" ht="12.75" x14ac:dyDescent="0.2">
      <c r="A835" s="28"/>
      <c r="B835" s="28"/>
      <c r="C835" s="28"/>
      <c r="D835" s="28"/>
      <c r="E835" s="28"/>
      <c r="F835" s="28"/>
      <c r="G835" s="28"/>
      <c r="H835" s="28"/>
      <c r="I835" s="28"/>
      <c r="J835" s="28"/>
      <c r="K835" s="36"/>
      <c r="L835" s="28"/>
      <c r="M835" s="28"/>
      <c r="N835" s="28"/>
      <c r="O835" s="28"/>
      <c r="P835" s="28"/>
      <c r="Q835" s="36"/>
      <c r="R835" s="36"/>
      <c r="S835" s="36"/>
      <c r="T835" s="36"/>
      <c r="U835" s="36"/>
      <c r="V835" s="36"/>
      <c r="W835" s="36"/>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c r="BE835" s="28"/>
      <c r="BF835" s="28"/>
      <c r="BG835" s="28"/>
      <c r="BH835" s="28"/>
      <c r="BI835" s="28"/>
      <c r="BJ835" s="28"/>
      <c r="BK835" s="28"/>
      <c r="BL835" s="28"/>
      <c r="BM835" s="28"/>
      <c r="BN835" s="28"/>
      <c r="BO835" s="28"/>
      <c r="BP835" s="28"/>
      <c r="BQ835" s="28"/>
      <c r="BR835" s="28"/>
      <c r="BS835" s="28"/>
      <c r="BT835" s="28"/>
      <c r="BU835" s="28"/>
      <c r="BV835" s="28"/>
      <c r="BW835" s="28"/>
      <c r="BX835" s="28"/>
      <c r="BY835" s="28"/>
      <c r="BZ835" s="28"/>
      <c r="CA835" s="28"/>
      <c r="CB835" s="28"/>
      <c r="CC835" s="28"/>
      <c r="CD835" s="28"/>
      <c r="CE835" s="28"/>
      <c r="CF835" s="28"/>
      <c r="CG835" s="28"/>
    </row>
    <row r="836" spans="1:85" ht="12.75" x14ac:dyDescent="0.2">
      <c r="A836" s="28"/>
      <c r="B836" s="28"/>
      <c r="C836" s="28"/>
      <c r="D836" s="28"/>
      <c r="E836" s="28"/>
      <c r="F836" s="28"/>
      <c r="G836" s="28"/>
      <c r="H836" s="28"/>
      <c r="I836" s="28"/>
      <c r="J836" s="28"/>
      <c r="K836" s="36"/>
      <c r="L836" s="28"/>
      <c r="M836" s="28"/>
      <c r="N836" s="28"/>
      <c r="O836" s="28"/>
      <c r="P836" s="28"/>
      <c r="Q836" s="36"/>
      <c r="R836" s="36"/>
      <c r="S836" s="36"/>
      <c r="T836" s="36"/>
      <c r="U836" s="36"/>
      <c r="V836" s="36"/>
      <c r="W836" s="36"/>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c r="BW836" s="28"/>
      <c r="BX836" s="28"/>
      <c r="BY836" s="28"/>
      <c r="BZ836" s="28"/>
      <c r="CA836" s="28"/>
      <c r="CB836" s="28"/>
      <c r="CC836" s="28"/>
      <c r="CD836" s="28"/>
      <c r="CE836" s="28"/>
      <c r="CF836" s="28"/>
      <c r="CG836" s="28"/>
    </row>
    <row r="837" spans="1:85" ht="12.75" x14ac:dyDescent="0.2">
      <c r="A837" s="28"/>
      <c r="B837" s="28"/>
      <c r="C837" s="28"/>
      <c r="D837" s="28"/>
      <c r="E837" s="28"/>
      <c r="F837" s="28"/>
      <c r="G837" s="28"/>
      <c r="H837" s="28"/>
      <c r="I837" s="28"/>
      <c r="J837" s="28"/>
      <c r="K837" s="36"/>
      <c r="L837" s="28"/>
      <c r="M837" s="28"/>
      <c r="N837" s="28"/>
      <c r="O837" s="28"/>
      <c r="P837" s="28"/>
      <c r="Q837" s="36"/>
      <c r="R837" s="36"/>
      <c r="S837" s="36"/>
      <c r="T837" s="36"/>
      <c r="U837" s="36"/>
      <c r="V837" s="36"/>
      <c r="W837" s="36"/>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c r="BE837" s="28"/>
      <c r="BF837" s="28"/>
      <c r="BG837" s="28"/>
      <c r="BH837" s="28"/>
      <c r="BI837" s="28"/>
      <c r="BJ837" s="28"/>
      <c r="BK837" s="28"/>
      <c r="BL837" s="28"/>
      <c r="BM837" s="28"/>
      <c r="BN837" s="28"/>
      <c r="BO837" s="28"/>
      <c r="BP837" s="28"/>
      <c r="BQ837" s="28"/>
      <c r="BR837" s="28"/>
      <c r="BS837" s="28"/>
      <c r="BT837" s="28"/>
      <c r="BU837" s="28"/>
      <c r="BV837" s="28"/>
      <c r="BW837" s="28"/>
      <c r="BX837" s="28"/>
      <c r="BY837" s="28"/>
      <c r="BZ837" s="28"/>
      <c r="CA837" s="28"/>
      <c r="CB837" s="28"/>
      <c r="CC837" s="28"/>
      <c r="CD837" s="28"/>
      <c r="CE837" s="28"/>
      <c r="CF837" s="28"/>
      <c r="CG837" s="28"/>
    </row>
    <row r="838" spans="1:85" ht="12.75" x14ac:dyDescent="0.2">
      <c r="A838" s="28"/>
      <c r="B838" s="28"/>
      <c r="C838" s="28"/>
      <c r="D838" s="28"/>
      <c r="E838" s="28"/>
      <c r="F838" s="28"/>
      <c r="G838" s="28"/>
      <c r="H838" s="28"/>
      <c r="I838" s="28"/>
      <c r="J838" s="28"/>
      <c r="K838" s="36"/>
      <c r="L838" s="28"/>
      <c r="M838" s="28"/>
      <c r="N838" s="28"/>
      <c r="O838" s="28"/>
      <c r="P838" s="28"/>
      <c r="Q838" s="36"/>
      <c r="R838" s="36"/>
      <c r="S838" s="36"/>
      <c r="T838" s="36"/>
      <c r="U838" s="36"/>
      <c r="V838" s="36"/>
      <c r="W838" s="36"/>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c r="BW838" s="28"/>
      <c r="BX838" s="28"/>
      <c r="BY838" s="28"/>
      <c r="BZ838" s="28"/>
      <c r="CA838" s="28"/>
      <c r="CB838" s="28"/>
      <c r="CC838" s="28"/>
      <c r="CD838" s="28"/>
      <c r="CE838" s="28"/>
      <c r="CF838" s="28"/>
      <c r="CG838" s="28"/>
    </row>
    <row r="839" spans="1:85" ht="12.75" x14ac:dyDescent="0.2">
      <c r="A839" s="28"/>
      <c r="B839" s="28"/>
      <c r="C839" s="28"/>
      <c r="D839" s="28"/>
      <c r="E839" s="28"/>
      <c r="F839" s="28"/>
      <c r="G839" s="28"/>
      <c r="H839" s="28"/>
      <c r="I839" s="28"/>
      <c r="J839" s="28"/>
      <c r="K839" s="36"/>
      <c r="L839" s="28"/>
      <c r="M839" s="28"/>
      <c r="N839" s="28"/>
      <c r="O839" s="28"/>
      <c r="P839" s="28"/>
      <c r="Q839" s="36"/>
      <c r="R839" s="36"/>
      <c r="S839" s="36"/>
      <c r="T839" s="36"/>
      <c r="U839" s="36"/>
      <c r="V839" s="36"/>
      <c r="W839" s="36"/>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c r="BE839" s="28"/>
      <c r="BF839" s="28"/>
      <c r="BG839" s="28"/>
      <c r="BH839" s="28"/>
      <c r="BI839" s="28"/>
      <c r="BJ839" s="28"/>
      <c r="BK839" s="28"/>
      <c r="BL839" s="28"/>
      <c r="BM839" s="28"/>
      <c r="BN839" s="28"/>
      <c r="BO839" s="28"/>
      <c r="BP839" s="28"/>
      <c r="BQ839" s="28"/>
      <c r="BR839" s="28"/>
      <c r="BS839" s="28"/>
      <c r="BT839" s="28"/>
      <c r="BU839" s="28"/>
      <c r="BV839" s="28"/>
      <c r="BW839" s="28"/>
      <c r="BX839" s="28"/>
      <c r="BY839" s="28"/>
      <c r="BZ839" s="28"/>
      <c r="CA839" s="28"/>
      <c r="CB839" s="28"/>
      <c r="CC839" s="28"/>
      <c r="CD839" s="28"/>
      <c r="CE839" s="28"/>
      <c r="CF839" s="28"/>
      <c r="CG839" s="28"/>
    </row>
    <row r="840" spans="1:85" ht="12.75" x14ac:dyDescent="0.2">
      <c r="A840" s="28"/>
      <c r="B840" s="28"/>
      <c r="C840" s="28"/>
      <c r="D840" s="28"/>
      <c r="E840" s="28"/>
      <c r="F840" s="28"/>
      <c r="G840" s="28"/>
      <c r="H840" s="28"/>
      <c r="I840" s="28"/>
      <c r="J840" s="28"/>
      <c r="K840" s="36"/>
      <c r="L840" s="28"/>
      <c r="M840" s="28"/>
      <c r="N840" s="28"/>
      <c r="O840" s="28"/>
      <c r="P840" s="28"/>
      <c r="Q840" s="36"/>
      <c r="R840" s="36"/>
      <c r="S840" s="36"/>
      <c r="T840" s="36"/>
      <c r="U840" s="36"/>
      <c r="V840" s="36"/>
      <c r="W840" s="36"/>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c r="BW840" s="28"/>
      <c r="BX840" s="28"/>
      <c r="BY840" s="28"/>
      <c r="BZ840" s="28"/>
      <c r="CA840" s="28"/>
      <c r="CB840" s="28"/>
      <c r="CC840" s="28"/>
      <c r="CD840" s="28"/>
      <c r="CE840" s="28"/>
      <c r="CF840" s="28"/>
      <c r="CG840" s="28"/>
    </row>
    <row r="841" spans="1:85" ht="12.75" x14ac:dyDescent="0.2">
      <c r="A841" s="28"/>
      <c r="B841" s="28"/>
      <c r="C841" s="28"/>
      <c r="D841" s="28"/>
      <c r="E841" s="28"/>
      <c r="F841" s="28"/>
      <c r="G841" s="28"/>
      <c r="H841" s="28"/>
      <c r="I841" s="28"/>
      <c r="J841" s="28"/>
      <c r="K841" s="36"/>
      <c r="L841" s="28"/>
      <c r="M841" s="28"/>
      <c r="N841" s="28"/>
      <c r="O841" s="28"/>
      <c r="P841" s="28"/>
      <c r="Q841" s="36"/>
      <c r="R841" s="36"/>
      <c r="S841" s="36"/>
      <c r="T841" s="36"/>
      <c r="U841" s="36"/>
      <c r="V841" s="36"/>
      <c r="W841" s="36"/>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c r="BE841" s="28"/>
      <c r="BF841" s="28"/>
      <c r="BG841" s="28"/>
      <c r="BH841" s="28"/>
      <c r="BI841" s="28"/>
      <c r="BJ841" s="28"/>
      <c r="BK841" s="28"/>
      <c r="BL841" s="28"/>
      <c r="BM841" s="28"/>
      <c r="BN841" s="28"/>
      <c r="BO841" s="28"/>
      <c r="BP841" s="28"/>
      <c r="BQ841" s="28"/>
      <c r="BR841" s="28"/>
      <c r="BS841" s="28"/>
      <c r="BT841" s="28"/>
      <c r="BU841" s="28"/>
      <c r="BV841" s="28"/>
      <c r="BW841" s="28"/>
      <c r="BX841" s="28"/>
      <c r="BY841" s="28"/>
      <c r="BZ841" s="28"/>
      <c r="CA841" s="28"/>
      <c r="CB841" s="28"/>
      <c r="CC841" s="28"/>
      <c r="CD841" s="28"/>
      <c r="CE841" s="28"/>
      <c r="CF841" s="28"/>
      <c r="CG841" s="28"/>
    </row>
    <row r="842" spans="1:85" ht="12.75" x14ac:dyDescent="0.2">
      <c r="A842" s="28"/>
      <c r="B842" s="28"/>
      <c r="C842" s="28"/>
      <c r="D842" s="28"/>
      <c r="E842" s="28"/>
      <c r="F842" s="28"/>
      <c r="G842" s="28"/>
      <c r="H842" s="28"/>
      <c r="I842" s="28"/>
      <c r="J842" s="28"/>
      <c r="K842" s="36"/>
      <c r="L842" s="28"/>
      <c r="M842" s="28"/>
      <c r="N842" s="28"/>
      <c r="O842" s="28"/>
      <c r="P842" s="28"/>
      <c r="Q842" s="36"/>
      <c r="R842" s="36"/>
      <c r="S842" s="36"/>
      <c r="T842" s="36"/>
      <c r="U842" s="36"/>
      <c r="V842" s="36"/>
      <c r="W842" s="36"/>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c r="BW842" s="28"/>
      <c r="BX842" s="28"/>
      <c r="BY842" s="28"/>
      <c r="BZ842" s="28"/>
      <c r="CA842" s="28"/>
      <c r="CB842" s="28"/>
      <c r="CC842" s="28"/>
      <c r="CD842" s="28"/>
      <c r="CE842" s="28"/>
      <c r="CF842" s="28"/>
      <c r="CG842" s="28"/>
    </row>
    <row r="843" spans="1:85" ht="12.75" x14ac:dyDescent="0.2">
      <c r="A843" s="28"/>
      <c r="B843" s="28"/>
      <c r="C843" s="28"/>
      <c r="D843" s="28"/>
      <c r="E843" s="28"/>
      <c r="F843" s="28"/>
      <c r="G843" s="28"/>
      <c r="H843" s="28"/>
      <c r="I843" s="28"/>
      <c r="J843" s="28"/>
      <c r="K843" s="36"/>
      <c r="L843" s="28"/>
      <c r="M843" s="28"/>
      <c r="N843" s="28"/>
      <c r="O843" s="28"/>
      <c r="P843" s="28"/>
      <c r="Q843" s="36"/>
      <c r="R843" s="36"/>
      <c r="S843" s="36"/>
      <c r="T843" s="36"/>
      <c r="U843" s="36"/>
      <c r="V843" s="36"/>
      <c r="W843" s="36"/>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c r="BE843" s="28"/>
      <c r="BF843" s="28"/>
      <c r="BG843" s="28"/>
      <c r="BH843" s="28"/>
      <c r="BI843" s="28"/>
      <c r="BJ843" s="28"/>
      <c r="BK843" s="28"/>
      <c r="BL843" s="28"/>
      <c r="BM843" s="28"/>
      <c r="BN843" s="28"/>
      <c r="BO843" s="28"/>
      <c r="BP843" s="28"/>
      <c r="BQ843" s="28"/>
      <c r="BR843" s="28"/>
      <c r="BS843" s="28"/>
      <c r="BT843" s="28"/>
      <c r="BU843" s="28"/>
      <c r="BV843" s="28"/>
      <c r="BW843" s="28"/>
      <c r="BX843" s="28"/>
      <c r="BY843" s="28"/>
      <c r="BZ843" s="28"/>
      <c r="CA843" s="28"/>
      <c r="CB843" s="28"/>
      <c r="CC843" s="28"/>
      <c r="CD843" s="28"/>
      <c r="CE843" s="28"/>
      <c r="CF843" s="28"/>
      <c r="CG843" s="28"/>
    </row>
    <row r="844" spans="1:85" ht="12.75" x14ac:dyDescent="0.2">
      <c r="A844" s="28"/>
      <c r="B844" s="28"/>
      <c r="C844" s="28"/>
      <c r="D844" s="28"/>
      <c r="E844" s="28"/>
      <c r="F844" s="28"/>
      <c r="G844" s="28"/>
      <c r="H844" s="28"/>
      <c r="I844" s="28"/>
      <c r="J844" s="28"/>
      <c r="K844" s="36"/>
      <c r="L844" s="28"/>
      <c r="M844" s="28"/>
      <c r="N844" s="28"/>
      <c r="O844" s="28"/>
      <c r="P844" s="28"/>
      <c r="Q844" s="36"/>
      <c r="R844" s="36"/>
      <c r="S844" s="36"/>
      <c r="T844" s="36"/>
      <c r="U844" s="36"/>
      <c r="V844" s="36"/>
      <c r="W844" s="36"/>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c r="BW844" s="28"/>
      <c r="BX844" s="28"/>
      <c r="BY844" s="28"/>
      <c r="BZ844" s="28"/>
      <c r="CA844" s="28"/>
      <c r="CB844" s="28"/>
      <c r="CC844" s="28"/>
      <c r="CD844" s="28"/>
      <c r="CE844" s="28"/>
      <c r="CF844" s="28"/>
      <c r="CG844" s="28"/>
    </row>
    <row r="845" spans="1:85" ht="12.75" x14ac:dyDescent="0.2">
      <c r="A845" s="28"/>
      <c r="B845" s="28"/>
      <c r="C845" s="28"/>
      <c r="D845" s="28"/>
      <c r="E845" s="28"/>
      <c r="F845" s="28"/>
      <c r="G845" s="28"/>
      <c r="H845" s="28"/>
      <c r="I845" s="28"/>
      <c r="J845" s="28"/>
      <c r="K845" s="36"/>
      <c r="L845" s="28"/>
      <c r="M845" s="28"/>
      <c r="N845" s="28"/>
      <c r="O845" s="28"/>
      <c r="P845" s="28"/>
      <c r="Q845" s="36"/>
      <c r="R845" s="36"/>
      <c r="S845" s="36"/>
      <c r="T845" s="36"/>
      <c r="U845" s="36"/>
      <c r="V845" s="36"/>
      <c r="W845" s="36"/>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c r="BE845" s="28"/>
      <c r="BF845" s="28"/>
      <c r="BG845" s="28"/>
      <c r="BH845" s="28"/>
      <c r="BI845" s="28"/>
      <c r="BJ845" s="28"/>
      <c r="BK845" s="28"/>
      <c r="BL845" s="28"/>
      <c r="BM845" s="28"/>
      <c r="BN845" s="28"/>
      <c r="BO845" s="28"/>
      <c r="BP845" s="28"/>
      <c r="BQ845" s="28"/>
      <c r="BR845" s="28"/>
      <c r="BS845" s="28"/>
      <c r="BT845" s="28"/>
      <c r="BU845" s="28"/>
      <c r="BV845" s="28"/>
      <c r="BW845" s="28"/>
      <c r="BX845" s="28"/>
      <c r="BY845" s="28"/>
      <c r="BZ845" s="28"/>
      <c r="CA845" s="28"/>
      <c r="CB845" s="28"/>
      <c r="CC845" s="28"/>
      <c r="CD845" s="28"/>
      <c r="CE845" s="28"/>
      <c r="CF845" s="28"/>
      <c r="CG845" s="28"/>
    </row>
    <row r="846" spans="1:85" ht="12.75" x14ac:dyDescent="0.2">
      <c r="A846" s="28"/>
      <c r="B846" s="28"/>
      <c r="C846" s="28"/>
      <c r="D846" s="28"/>
      <c r="E846" s="28"/>
      <c r="F846" s="28"/>
      <c r="G846" s="28"/>
      <c r="H846" s="28"/>
      <c r="I846" s="28"/>
      <c r="J846" s="28"/>
      <c r="K846" s="36"/>
      <c r="L846" s="28"/>
      <c r="M846" s="28"/>
      <c r="N846" s="28"/>
      <c r="O846" s="28"/>
      <c r="P846" s="28"/>
      <c r="Q846" s="36"/>
      <c r="R846" s="36"/>
      <c r="S846" s="36"/>
      <c r="T846" s="36"/>
      <c r="U846" s="36"/>
      <c r="V846" s="36"/>
      <c r="W846" s="36"/>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c r="BW846" s="28"/>
      <c r="BX846" s="28"/>
      <c r="BY846" s="28"/>
      <c r="BZ846" s="28"/>
      <c r="CA846" s="28"/>
      <c r="CB846" s="28"/>
      <c r="CC846" s="28"/>
      <c r="CD846" s="28"/>
      <c r="CE846" s="28"/>
      <c r="CF846" s="28"/>
      <c r="CG846" s="28"/>
    </row>
    <row r="847" spans="1:85" ht="12.75" x14ac:dyDescent="0.2">
      <c r="A847" s="28"/>
      <c r="B847" s="28"/>
      <c r="C847" s="28"/>
      <c r="D847" s="28"/>
      <c r="E847" s="28"/>
      <c r="F847" s="28"/>
      <c r="G847" s="28"/>
      <c r="H847" s="28"/>
      <c r="I847" s="28"/>
      <c r="J847" s="28"/>
      <c r="K847" s="36"/>
      <c r="L847" s="28"/>
      <c r="M847" s="28"/>
      <c r="N847" s="28"/>
      <c r="O847" s="28"/>
      <c r="P847" s="28"/>
      <c r="Q847" s="36"/>
      <c r="R847" s="36"/>
      <c r="S847" s="36"/>
      <c r="T847" s="36"/>
      <c r="U847" s="36"/>
      <c r="V847" s="36"/>
      <c r="W847" s="36"/>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c r="BE847" s="28"/>
      <c r="BF847" s="28"/>
      <c r="BG847" s="28"/>
      <c r="BH847" s="28"/>
      <c r="BI847" s="28"/>
      <c r="BJ847" s="28"/>
      <c r="BK847" s="28"/>
      <c r="BL847" s="28"/>
      <c r="BM847" s="28"/>
      <c r="BN847" s="28"/>
      <c r="BO847" s="28"/>
      <c r="BP847" s="28"/>
      <c r="BQ847" s="28"/>
      <c r="BR847" s="28"/>
      <c r="BS847" s="28"/>
      <c r="BT847" s="28"/>
      <c r="BU847" s="28"/>
      <c r="BV847" s="28"/>
      <c r="BW847" s="28"/>
      <c r="BX847" s="28"/>
      <c r="BY847" s="28"/>
      <c r="BZ847" s="28"/>
      <c r="CA847" s="28"/>
      <c r="CB847" s="28"/>
      <c r="CC847" s="28"/>
      <c r="CD847" s="28"/>
      <c r="CE847" s="28"/>
      <c r="CF847" s="28"/>
      <c r="CG847" s="28"/>
    </row>
    <row r="848" spans="1:85" ht="12.75" x14ac:dyDescent="0.2">
      <c r="A848" s="28"/>
      <c r="B848" s="28"/>
      <c r="C848" s="28"/>
      <c r="D848" s="28"/>
      <c r="E848" s="28"/>
      <c r="F848" s="28"/>
      <c r="G848" s="28"/>
      <c r="H848" s="28"/>
      <c r="I848" s="28"/>
      <c r="J848" s="28"/>
      <c r="K848" s="36"/>
      <c r="L848" s="28"/>
      <c r="M848" s="28"/>
      <c r="N848" s="28"/>
      <c r="O848" s="28"/>
      <c r="P848" s="28"/>
      <c r="Q848" s="36"/>
      <c r="R848" s="36"/>
      <c r="S848" s="36"/>
      <c r="T848" s="36"/>
      <c r="U848" s="36"/>
      <c r="V848" s="36"/>
      <c r="W848" s="36"/>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c r="BW848" s="28"/>
      <c r="BX848" s="28"/>
      <c r="BY848" s="28"/>
      <c r="BZ848" s="28"/>
      <c r="CA848" s="28"/>
      <c r="CB848" s="28"/>
      <c r="CC848" s="28"/>
      <c r="CD848" s="28"/>
      <c r="CE848" s="28"/>
      <c r="CF848" s="28"/>
      <c r="CG848" s="28"/>
    </row>
    <row r="849" spans="1:85" ht="12.75" x14ac:dyDescent="0.2">
      <c r="A849" s="28"/>
      <c r="B849" s="28"/>
      <c r="C849" s="28"/>
      <c r="D849" s="28"/>
      <c r="E849" s="28"/>
      <c r="F849" s="28"/>
      <c r="G849" s="28"/>
      <c r="H849" s="28"/>
      <c r="I849" s="28"/>
      <c r="J849" s="28"/>
      <c r="K849" s="36"/>
      <c r="L849" s="28"/>
      <c r="M849" s="28"/>
      <c r="N849" s="28"/>
      <c r="O849" s="28"/>
      <c r="P849" s="28"/>
      <c r="Q849" s="36"/>
      <c r="R849" s="36"/>
      <c r="S849" s="36"/>
      <c r="T849" s="36"/>
      <c r="U849" s="36"/>
      <c r="V849" s="36"/>
      <c r="W849" s="36"/>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c r="BE849" s="28"/>
      <c r="BF849" s="28"/>
      <c r="BG849" s="28"/>
      <c r="BH849" s="28"/>
      <c r="BI849" s="28"/>
      <c r="BJ849" s="28"/>
      <c r="BK849" s="28"/>
      <c r="BL849" s="28"/>
      <c r="BM849" s="28"/>
      <c r="BN849" s="28"/>
      <c r="BO849" s="28"/>
      <c r="BP849" s="28"/>
      <c r="BQ849" s="28"/>
      <c r="BR849" s="28"/>
      <c r="BS849" s="28"/>
      <c r="BT849" s="28"/>
      <c r="BU849" s="28"/>
      <c r="BV849" s="28"/>
      <c r="BW849" s="28"/>
      <c r="BX849" s="28"/>
      <c r="BY849" s="28"/>
      <c r="BZ849" s="28"/>
      <c r="CA849" s="28"/>
      <c r="CB849" s="28"/>
      <c r="CC849" s="28"/>
      <c r="CD849" s="28"/>
      <c r="CE849" s="28"/>
      <c r="CF849" s="28"/>
      <c r="CG849" s="28"/>
    </row>
    <row r="850" spans="1:85" ht="12.75" x14ac:dyDescent="0.2">
      <c r="A850" s="28"/>
      <c r="B850" s="28"/>
      <c r="C850" s="28"/>
      <c r="D850" s="28"/>
      <c r="E850" s="28"/>
      <c r="F850" s="28"/>
      <c r="G850" s="28"/>
      <c r="H850" s="28"/>
      <c r="I850" s="28"/>
      <c r="J850" s="28"/>
      <c r="K850" s="36"/>
      <c r="L850" s="28"/>
      <c r="M850" s="28"/>
      <c r="N850" s="28"/>
      <c r="O850" s="28"/>
      <c r="P850" s="28"/>
      <c r="Q850" s="36"/>
      <c r="R850" s="36"/>
      <c r="S850" s="36"/>
      <c r="T850" s="36"/>
      <c r="U850" s="36"/>
      <c r="V850" s="36"/>
      <c r="W850" s="36"/>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c r="BW850" s="28"/>
      <c r="BX850" s="28"/>
      <c r="BY850" s="28"/>
      <c r="BZ850" s="28"/>
      <c r="CA850" s="28"/>
      <c r="CB850" s="28"/>
      <c r="CC850" s="28"/>
      <c r="CD850" s="28"/>
      <c r="CE850" s="28"/>
      <c r="CF850" s="28"/>
      <c r="CG850" s="28"/>
    </row>
    <row r="851" spans="1:85" ht="12.75" x14ac:dyDescent="0.2">
      <c r="A851" s="28"/>
      <c r="B851" s="28"/>
      <c r="C851" s="28"/>
      <c r="D851" s="28"/>
      <c r="E851" s="28"/>
      <c r="F851" s="28"/>
      <c r="G851" s="28"/>
      <c r="H851" s="28"/>
      <c r="I851" s="28"/>
      <c r="J851" s="28"/>
      <c r="K851" s="36"/>
      <c r="L851" s="28"/>
      <c r="M851" s="28"/>
      <c r="N851" s="28"/>
      <c r="O851" s="28"/>
      <c r="P851" s="28"/>
      <c r="Q851" s="36"/>
      <c r="R851" s="36"/>
      <c r="S851" s="36"/>
      <c r="T851" s="36"/>
      <c r="U851" s="36"/>
      <c r="V851" s="36"/>
      <c r="W851" s="36"/>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c r="BE851" s="28"/>
      <c r="BF851" s="28"/>
      <c r="BG851" s="28"/>
      <c r="BH851" s="28"/>
      <c r="BI851" s="28"/>
      <c r="BJ851" s="28"/>
      <c r="BK851" s="28"/>
      <c r="BL851" s="28"/>
      <c r="BM851" s="28"/>
      <c r="BN851" s="28"/>
      <c r="BO851" s="28"/>
      <c r="BP851" s="28"/>
      <c r="BQ851" s="28"/>
      <c r="BR851" s="28"/>
      <c r="BS851" s="28"/>
      <c r="BT851" s="28"/>
      <c r="BU851" s="28"/>
      <c r="BV851" s="28"/>
      <c r="BW851" s="28"/>
      <c r="BX851" s="28"/>
      <c r="BY851" s="28"/>
      <c r="BZ851" s="28"/>
      <c r="CA851" s="28"/>
      <c r="CB851" s="28"/>
      <c r="CC851" s="28"/>
      <c r="CD851" s="28"/>
      <c r="CE851" s="28"/>
      <c r="CF851" s="28"/>
      <c r="CG851" s="28"/>
    </row>
    <row r="852" spans="1:85" ht="12.75" x14ac:dyDescent="0.2">
      <c r="A852" s="28"/>
      <c r="B852" s="28"/>
      <c r="C852" s="28"/>
      <c r="D852" s="28"/>
      <c r="E852" s="28"/>
      <c r="F852" s="28"/>
      <c r="G852" s="28"/>
      <c r="H852" s="28"/>
      <c r="I852" s="28"/>
      <c r="J852" s="28"/>
      <c r="K852" s="36"/>
      <c r="L852" s="28"/>
      <c r="M852" s="28"/>
      <c r="N852" s="28"/>
      <c r="O852" s="28"/>
      <c r="P852" s="28"/>
      <c r="Q852" s="36"/>
      <c r="R852" s="36"/>
      <c r="S852" s="36"/>
      <c r="T852" s="36"/>
      <c r="U852" s="36"/>
      <c r="V852" s="36"/>
      <c r="W852" s="36"/>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c r="BW852" s="28"/>
      <c r="BX852" s="28"/>
      <c r="BY852" s="28"/>
      <c r="BZ852" s="28"/>
      <c r="CA852" s="28"/>
      <c r="CB852" s="28"/>
      <c r="CC852" s="28"/>
      <c r="CD852" s="28"/>
      <c r="CE852" s="28"/>
      <c r="CF852" s="28"/>
      <c r="CG852" s="28"/>
    </row>
    <row r="853" spans="1:85" ht="12.75" x14ac:dyDescent="0.2">
      <c r="A853" s="28"/>
      <c r="B853" s="28"/>
      <c r="C853" s="28"/>
      <c r="D853" s="28"/>
      <c r="E853" s="28"/>
      <c r="F853" s="28"/>
      <c r="G853" s="28"/>
      <c r="H853" s="28"/>
      <c r="I853" s="28"/>
      <c r="J853" s="28"/>
      <c r="K853" s="36"/>
      <c r="L853" s="28"/>
      <c r="M853" s="28"/>
      <c r="N853" s="28"/>
      <c r="O853" s="28"/>
      <c r="P853" s="28"/>
      <c r="Q853" s="36"/>
      <c r="R853" s="36"/>
      <c r="S853" s="36"/>
      <c r="T853" s="36"/>
      <c r="U853" s="36"/>
      <c r="V853" s="36"/>
      <c r="W853" s="36"/>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c r="BE853" s="28"/>
      <c r="BF853" s="28"/>
      <c r="BG853" s="28"/>
      <c r="BH853" s="28"/>
      <c r="BI853" s="28"/>
      <c r="BJ853" s="28"/>
      <c r="BK853" s="28"/>
      <c r="BL853" s="28"/>
      <c r="BM853" s="28"/>
      <c r="BN853" s="28"/>
      <c r="BO853" s="28"/>
      <c r="BP853" s="28"/>
      <c r="BQ853" s="28"/>
      <c r="BR853" s="28"/>
      <c r="BS853" s="28"/>
      <c r="BT853" s="28"/>
      <c r="BU853" s="28"/>
      <c r="BV853" s="28"/>
      <c r="BW853" s="28"/>
      <c r="BX853" s="28"/>
      <c r="BY853" s="28"/>
      <c r="BZ853" s="28"/>
      <c r="CA853" s="28"/>
      <c r="CB853" s="28"/>
      <c r="CC853" s="28"/>
      <c r="CD853" s="28"/>
      <c r="CE853" s="28"/>
      <c r="CF853" s="28"/>
      <c r="CG853" s="28"/>
    </row>
    <row r="854" spans="1:85" ht="12.75" x14ac:dyDescent="0.2">
      <c r="A854" s="28"/>
      <c r="B854" s="28"/>
      <c r="C854" s="28"/>
      <c r="D854" s="28"/>
      <c r="E854" s="28"/>
      <c r="F854" s="28"/>
      <c r="G854" s="28"/>
      <c r="H854" s="28"/>
      <c r="I854" s="28"/>
      <c r="J854" s="28"/>
      <c r="K854" s="36"/>
      <c r="L854" s="28"/>
      <c r="M854" s="28"/>
      <c r="N854" s="28"/>
      <c r="O854" s="28"/>
      <c r="P854" s="28"/>
      <c r="Q854" s="36"/>
      <c r="R854" s="36"/>
      <c r="S854" s="36"/>
      <c r="T854" s="36"/>
      <c r="U854" s="36"/>
      <c r="V854" s="36"/>
      <c r="W854" s="36"/>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c r="BW854" s="28"/>
      <c r="BX854" s="28"/>
      <c r="BY854" s="28"/>
      <c r="BZ854" s="28"/>
      <c r="CA854" s="28"/>
      <c r="CB854" s="28"/>
      <c r="CC854" s="28"/>
      <c r="CD854" s="28"/>
      <c r="CE854" s="28"/>
      <c r="CF854" s="28"/>
      <c r="CG854" s="28"/>
    </row>
    <row r="855" spans="1:85" ht="12.75" x14ac:dyDescent="0.2">
      <c r="A855" s="28"/>
      <c r="B855" s="28"/>
      <c r="C855" s="28"/>
      <c r="D855" s="28"/>
      <c r="E855" s="28"/>
      <c r="F855" s="28"/>
      <c r="G855" s="28"/>
      <c r="H855" s="28"/>
      <c r="I855" s="28"/>
      <c r="J855" s="28"/>
      <c r="K855" s="36"/>
      <c r="L855" s="28"/>
      <c r="M855" s="28"/>
      <c r="N855" s="28"/>
      <c r="O855" s="28"/>
      <c r="P855" s="28"/>
      <c r="Q855" s="36"/>
      <c r="R855" s="36"/>
      <c r="S855" s="36"/>
      <c r="T855" s="36"/>
      <c r="U855" s="36"/>
      <c r="V855" s="36"/>
      <c r="W855" s="36"/>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c r="BE855" s="28"/>
      <c r="BF855" s="28"/>
      <c r="BG855" s="28"/>
      <c r="BH855" s="28"/>
      <c r="BI855" s="28"/>
      <c r="BJ855" s="28"/>
      <c r="BK855" s="28"/>
      <c r="BL855" s="28"/>
      <c r="BM855" s="28"/>
      <c r="BN855" s="28"/>
      <c r="BO855" s="28"/>
      <c r="BP855" s="28"/>
      <c r="BQ855" s="28"/>
      <c r="BR855" s="28"/>
      <c r="BS855" s="28"/>
      <c r="BT855" s="28"/>
      <c r="BU855" s="28"/>
      <c r="BV855" s="28"/>
      <c r="BW855" s="28"/>
      <c r="BX855" s="28"/>
      <c r="BY855" s="28"/>
      <c r="BZ855" s="28"/>
      <c r="CA855" s="28"/>
      <c r="CB855" s="28"/>
      <c r="CC855" s="28"/>
      <c r="CD855" s="28"/>
      <c r="CE855" s="28"/>
      <c r="CF855" s="28"/>
      <c r="CG855" s="28"/>
    </row>
    <row r="856" spans="1:85" ht="12.75" x14ac:dyDescent="0.2">
      <c r="A856" s="28"/>
      <c r="B856" s="28"/>
      <c r="C856" s="28"/>
      <c r="D856" s="28"/>
      <c r="E856" s="28"/>
      <c r="F856" s="28"/>
      <c r="G856" s="28"/>
      <c r="H856" s="28"/>
      <c r="I856" s="28"/>
      <c r="J856" s="28"/>
      <c r="K856" s="36"/>
      <c r="L856" s="28"/>
      <c r="M856" s="28"/>
      <c r="N856" s="28"/>
      <c r="O856" s="28"/>
      <c r="P856" s="28"/>
      <c r="Q856" s="36"/>
      <c r="R856" s="36"/>
      <c r="S856" s="36"/>
      <c r="T856" s="36"/>
      <c r="U856" s="36"/>
      <c r="V856" s="36"/>
      <c r="W856" s="36"/>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c r="BW856" s="28"/>
      <c r="BX856" s="28"/>
      <c r="BY856" s="28"/>
      <c r="BZ856" s="28"/>
      <c r="CA856" s="28"/>
      <c r="CB856" s="28"/>
      <c r="CC856" s="28"/>
      <c r="CD856" s="28"/>
      <c r="CE856" s="28"/>
      <c r="CF856" s="28"/>
      <c r="CG856" s="28"/>
    </row>
    <row r="857" spans="1:85" ht="12.75" x14ac:dyDescent="0.2">
      <c r="A857" s="28"/>
      <c r="B857" s="28"/>
      <c r="C857" s="28"/>
      <c r="D857" s="28"/>
      <c r="E857" s="28"/>
      <c r="F857" s="28"/>
      <c r="G857" s="28"/>
      <c r="H857" s="28"/>
      <c r="I857" s="28"/>
      <c r="J857" s="28"/>
      <c r="K857" s="36"/>
      <c r="L857" s="28"/>
      <c r="M857" s="28"/>
      <c r="N857" s="28"/>
      <c r="O857" s="28"/>
      <c r="P857" s="28"/>
      <c r="Q857" s="36"/>
      <c r="R857" s="36"/>
      <c r="S857" s="36"/>
      <c r="T857" s="36"/>
      <c r="U857" s="36"/>
      <c r="V857" s="36"/>
      <c r="W857" s="36"/>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c r="BE857" s="28"/>
      <c r="BF857" s="28"/>
      <c r="BG857" s="28"/>
      <c r="BH857" s="28"/>
      <c r="BI857" s="28"/>
      <c r="BJ857" s="28"/>
      <c r="BK857" s="28"/>
      <c r="BL857" s="28"/>
      <c r="BM857" s="28"/>
      <c r="BN857" s="28"/>
      <c r="BO857" s="28"/>
      <c r="BP857" s="28"/>
      <c r="BQ857" s="28"/>
      <c r="BR857" s="28"/>
      <c r="BS857" s="28"/>
      <c r="BT857" s="28"/>
      <c r="BU857" s="28"/>
      <c r="BV857" s="28"/>
      <c r="BW857" s="28"/>
      <c r="BX857" s="28"/>
      <c r="BY857" s="28"/>
      <c r="BZ857" s="28"/>
      <c r="CA857" s="28"/>
      <c r="CB857" s="28"/>
      <c r="CC857" s="28"/>
      <c r="CD857" s="28"/>
      <c r="CE857" s="28"/>
      <c r="CF857" s="28"/>
      <c r="CG857" s="28"/>
    </row>
    <row r="858" spans="1:85" ht="12.75" x14ac:dyDescent="0.2">
      <c r="A858" s="28"/>
      <c r="B858" s="28"/>
      <c r="C858" s="28"/>
      <c r="D858" s="28"/>
      <c r="E858" s="28"/>
      <c r="F858" s="28"/>
      <c r="G858" s="28"/>
      <c r="H858" s="28"/>
      <c r="I858" s="28"/>
      <c r="J858" s="28"/>
      <c r="K858" s="36"/>
      <c r="L858" s="28"/>
      <c r="M858" s="28"/>
      <c r="N858" s="28"/>
      <c r="O858" s="28"/>
      <c r="P858" s="28"/>
      <c r="Q858" s="36"/>
      <c r="R858" s="36"/>
      <c r="S858" s="36"/>
      <c r="T858" s="36"/>
      <c r="U858" s="36"/>
      <c r="V858" s="36"/>
      <c r="W858" s="36"/>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c r="BW858" s="28"/>
      <c r="BX858" s="28"/>
      <c r="BY858" s="28"/>
      <c r="BZ858" s="28"/>
      <c r="CA858" s="28"/>
      <c r="CB858" s="28"/>
      <c r="CC858" s="28"/>
      <c r="CD858" s="28"/>
      <c r="CE858" s="28"/>
      <c r="CF858" s="28"/>
      <c r="CG858" s="28"/>
    </row>
    <row r="859" spans="1:85" ht="12.75" x14ac:dyDescent="0.2">
      <c r="A859" s="28"/>
      <c r="B859" s="28"/>
      <c r="C859" s="28"/>
      <c r="D859" s="28"/>
      <c r="E859" s="28"/>
      <c r="F859" s="28"/>
      <c r="G859" s="28"/>
      <c r="H859" s="28"/>
      <c r="I859" s="28"/>
      <c r="J859" s="28"/>
      <c r="K859" s="36"/>
      <c r="L859" s="28"/>
      <c r="M859" s="28"/>
      <c r="N859" s="28"/>
      <c r="O859" s="28"/>
      <c r="P859" s="28"/>
      <c r="Q859" s="36"/>
      <c r="R859" s="36"/>
      <c r="S859" s="36"/>
      <c r="T859" s="36"/>
      <c r="U859" s="36"/>
      <c r="V859" s="36"/>
      <c r="W859" s="36"/>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c r="BE859" s="28"/>
      <c r="BF859" s="28"/>
      <c r="BG859" s="28"/>
      <c r="BH859" s="28"/>
      <c r="BI859" s="28"/>
      <c r="BJ859" s="28"/>
      <c r="BK859" s="28"/>
      <c r="BL859" s="28"/>
      <c r="BM859" s="28"/>
      <c r="BN859" s="28"/>
      <c r="BO859" s="28"/>
      <c r="BP859" s="28"/>
      <c r="BQ859" s="28"/>
      <c r="BR859" s="28"/>
      <c r="BS859" s="28"/>
      <c r="BT859" s="28"/>
      <c r="BU859" s="28"/>
      <c r="BV859" s="28"/>
      <c r="BW859" s="28"/>
      <c r="BX859" s="28"/>
      <c r="BY859" s="28"/>
      <c r="BZ859" s="28"/>
      <c r="CA859" s="28"/>
      <c r="CB859" s="28"/>
      <c r="CC859" s="28"/>
      <c r="CD859" s="28"/>
      <c r="CE859" s="28"/>
      <c r="CF859" s="28"/>
      <c r="CG859" s="28"/>
    </row>
    <row r="860" spans="1:85" ht="12.75" x14ac:dyDescent="0.2">
      <c r="A860" s="28"/>
      <c r="B860" s="28"/>
      <c r="C860" s="28"/>
      <c r="D860" s="28"/>
      <c r="E860" s="28"/>
      <c r="F860" s="28"/>
      <c r="G860" s="28"/>
      <c r="H860" s="28"/>
      <c r="I860" s="28"/>
      <c r="J860" s="28"/>
      <c r="K860" s="36"/>
      <c r="L860" s="28"/>
      <c r="M860" s="28"/>
      <c r="N860" s="28"/>
      <c r="O860" s="28"/>
      <c r="P860" s="28"/>
      <c r="Q860" s="36"/>
      <c r="R860" s="36"/>
      <c r="S860" s="36"/>
      <c r="T860" s="36"/>
      <c r="U860" s="36"/>
      <c r="V860" s="36"/>
      <c r="W860" s="36"/>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c r="BW860" s="28"/>
      <c r="BX860" s="28"/>
      <c r="BY860" s="28"/>
      <c r="BZ860" s="28"/>
      <c r="CA860" s="28"/>
      <c r="CB860" s="28"/>
      <c r="CC860" s="28"/>
      <c r="CD860" s="28"/>
      <c r="CE860" s="28"/>
      <c r="CF860" s="28"/>
      <c r="CG860" s="28"/>
    </row>
    <row r="861" spans="1:85" ht="12.75" x14ac:dyDescent="0.2">
      <c r="A861" s="28"/>
      <c r="B861" s="28"/>
      <c r="C861" s="28"/>
      <c r="D861" s="28"/>
      <c r="E861" s="28"/>
      <c r="F861" s="28"/>
      <c r="G861" s="28"/>
      <c r="H861" s="28"/>
      <c r="I861" s="28"/>
      <c r="J861" s="28"/>
      <c r="K861" s="36"/>
      <c r="L861" s="28"/>
      <c r="M861" s="28"/>
      <c r="N861" s="28"/>
      <c r="O861" s="28"/>
      <c r="P861" s="28"/>
      <c r="Q861" s="36"/>
      <c r="R861" s="36"/>
      <c r="S861" s="36"/>
      <c r="T861" s="36"/>
      <c r="U861" s="36"/>
      <c r="V861" s="36"/>
      <c r="W861" s="36"/>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c r="BE861" s="28"/>
      <c r="BF861" s="28"/>
      <c r="BG861" s="28"/>
      <c r="BH861" s="28"/>
      <c r="BI861" s="28"/>
      <c r="BJ861" s="28"/>
      <c r="BK861" s="28"/>
      <c r="BL861" s="28"/>
      <c r="BM861" s="28"/>
      <c r="BN861" s="28"/>
      <c r="BO861" s="28"/>
      <c r="BP861" s="28"/>
      <c r="BQ861" s="28"/>
      <c r="BR861" s="28"/>
      <c r="BS861" s="28"/>
      <c r="BT861" s="28"/>
      <c r="BU861" s="28"/>
      <c r="BV861" s="28"/>
      <c r="BW861" s="28"/>
      <c r="BX861" s="28"/>
      <c r="BY861" s="28"/>
      <c r="BZ861" s="28"/>
      <c r="CA861" s="28"/>
      <c r="CB861" s="28"/>
      <c r="CC861" s="28"/>
      <c r="CD861" s="28"/>
      <c r="CE861" s="28"/>
      <c r="CF861" s="28"/>
      <c r="CG861" s="28"/>
    </row>
    <row r="862" spans="1:85" ht="12.75" x14ac:dyDescent="0.2">
      <c r="A862" s="28"/>
      <c r="B862" s="28"/>
      <c r="C862" s="28"/>
      <c r="D862" s="28"/>
      <c r="E862" s="28"/>
      <c r="F862" s="28"/>
      <c r="G862" s="28"/>
      <c r="H862" s="28"/>
      <c r="I862" s="28"/>
      <c r="J862" s="28"/>
      <c r="K862" s="36"/>
      <c r="L862" s="28"/>
      <c r="M862" s="28"/>
      <c r="N862" s="28"/>
      <c r="O862" s="28"/>
      <c r="P862" s="28"/>
      <c r="Q862" s="36"/>
      <c r="R862" s="36"/>
      <c r="S862" s="36"/>
      <c r="T862" s="36"/>
      <c r="U862" s="36"/>
      <c r="V862" s="36"/>
      <c r="W862" s="36"/>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c r="BW862" s="28"/>
      <c r="BX862" s="28"/>
      <c r="BY862" s="28"/>
      <c r="BZ862" s="28"/>
      <c r="CA862" s="28"/>
      <c r="CB862" s="28"/>
      <c r="CC862" s="28"/>
      <c r="CD862" s="28"/>
      <c r="CE862" s="28"/>
      <c r="CF862" s="28"/>
      <c r="CG862" s="28"/>
    </row>
    <row r="863" spans="1:85" ht="12.75" x14ac:dyDescent="0.2">
      <c r="A863" s="28"/>
      <c r="B863" s="28"/>
      <c r="C863" s="28"/>
      <c r="D863" s="28"/>
      <c r="E863" s="28"/>
      <c r="F863" s="28"/>
      <c r="G863" s="28"/>
      <c r="H863" s="28"/>
      <c r="I863" s="28"/>
      <c r="J863" s="28"/>
      <c r="K863" s="36"/>
      <c r="L863" s="28"/>
      <c r="M863" s="28"/>
      <c r="N863" s="28"/>
      <c r="O863" s="28"/>
      <c r="P863" s="28"/>
      <c r="Q863" s="36"/>
      <c r="R863" s="36"/>
      <c r="S863" s="36"/>
      <c r="T863" s="36"/>
      <c r="U863" s="36"/>
      <c r="V863" s="36"/>
      <c r="W863" s="36"/>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c r="BE863" s="28"/>
      <c r="BF863" s="28"/>
      <c r="BG863" s="28"/>
      <c r="BH863" s="28"/>
      <c r="BI863" s="28"/>
      <c r="BJ863" s="28"/>
      <c r="BK863" s="28"/>
      <c r="BL863" s="28"/>
      <c r="BM863" s="28"/>
      <c r="BN863" s="28"/>
      <c r="BO863" s="28"/>
      <c r="BP863" s="28"/>
      <c r="BQ863" s="28"/>
      <c r="BR863" s="28"/>
      <c r="BS863" s="28"/>
      <c r="BT863" s="28"/>
      <c r="BU863" s="28"/>
      <c r="BV863" s="28"/>
      <c r="BW863" s="28"/>
      <c r="BX863" s="28"/>
      <c r="BY863" s="28"/>
      <c r="BZ863" s="28"/>
      <c r="CA863" s="28"/>
      <c r="CB863" s="28"/>
      <c r="CC863" s="28"/>
      <c r="CD863" s="28"/>
      <c r="CE863" s="28"/>
      <c r="CF863" s="28"/>
      <c r="CG863" s="28"/>
    </row>
    <row r="864" spans="1:85" ht="12.75" x14ac:dyDescent="0.2">
      <c r="A864" s="28"/>
      <c r="B864" s="28"/>
      <c r="C864" s="28"/>
      <c r="D864" s="28"/>
      <c r="E864" s="28"/>
      <c r="F864" s="28"/>
      <c r="G864" s="28"/>
      <c r="H864" s="28"/>
      <c r="I864" s="28"/>
      <c r="J864" s="28"/>
      <c r="K864" s="36"/>
      <c r="L864" s="28"/>
      <c r="M864" s="28"/>
      <c r="N864" s="28"/>
      <c r="O864" s="28"/>
      <c r="P864" s="28"/>
      <c r="Q864" s="36"/>
      <c r="R864" s="36"/>
      <c r="S864" s="36"/>
      <c r="T864" s="36"/>
      <c r="U864" s="36"/>
      <c r="V864" s="36"/>
      <c r="W864" s="36"/>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c r="BW864" s="28"/>
      <c r="BX864" s="28"/>
      <c r="BY864" s="28"/>
      <c r="BZ864" s="28"/>
      <c r="CA864" s="28"/>
      <c r="CB864" s="28"/>
      <c r="CC864" s="28"/>
      <c r="CD864" s="28"/>
      <c r="CE864" s="28"/>
      <c r="CF864" s="28"/>
      <c r="CG864" s="28"/>
    </row>
    <row r="865" spans="1:85" ht="12.75" x14ac:dyDescent="0.2">
      <c r="A865" s="28"/>
      <c r="B865" s="28"/>
      <c r="C865" s="28"/>
      <c r="D865" s="28"/>
      <c r="E865" s="28"/>
      <c r="F865" s="28"/>
      <c r="G865" s="28"/>
      <c r="H865" s="28"/>
      <c r="I865" s="28"/>
      <c r="J865" s="28"/>
      <c r="K865" s="36"/>
      <c r="L865" s="28"/>
      <c r="M865" s="28"/>
      <c r="N865" s="28"/>
      <c r="O865" s="28"/>
      <c r="P865" s="28"/>
      <c r="Q865" s="36"/>
      <c r="R865" s="36"/>
      <c r="S865" s="36"/>
      <c r="T865" s="36"/>
      <c r="U865" s="36"/>
      <c r="V865" s="36"/>
      <c r="W865" s="36"/>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c r="BE865" s="28"/>
      <c r="BF865" s="28"/>
      <c r="BG865" s="28"/>
      <c r="BH865" s="28"/>
      <c r="BI865" s="28"/>
      <c r="BJ865" s="28"/>
      <c r="BK865" s="28"/>
      <c r="BL865" s="28"/>
      <c r="BM865" s="28"/>
      <c r="BN865" s="28"/>
      <c r="BO865" s="28"/>
      <c r="BP865" s="28"/>
      <c r="BQ865" s="28"/>
      <c r="BR865" s="28"/>
      <c r="BS865" s="28"/>
      <c r="BT865" s="28"/>
      <c r="BU865" s="28"/>
      <c r="BV865" s="28"/>
      <c r="BW865" s="28"/>
      <c r="BX865" s="28"/>
      <c r="BY865" s="28"/>
      <c r="BZ865" s="28"/>
      <c r="CA865" s="28"/>
      <c r="CB865" s="28"/>
      <c r="CC865" s="28"/>
      <c r="CD865" s="28"/>
      <c r="CE865" s="28"/>
      <c r="CF865" s="28"/>
      <c r="CG865" s="28"/>
    </row>
    <row r="866" spans="1:85" ht="12.75" x14ac:dyDescent="0.2">
      <c r="A866" s="28"/>
      <c r="B866" s="28"/>
      <c r="C866" s="28"/>
      <c r="D866" s="28"/>
      <c r="E866" s="28"/>
      <c r="F866" s="28"/>
      <c r="G866" s="28"/>
      <c r="H866" s="28"/>
      <c r="I866" s="28"/>
      <c r="J866" s="28"/>
      <c r="K866" s="36"/>
      <c r="L866" s="28"/>
      <c r="M866" s="28"/>
      <c r="N866" s="28"/>
      <c r="O866" s="28"/>
      <c r="P866" s="28"/>
      <c r="Q866" s="36"/>
      <c r="R866" s="36"/>
      <c r="S866" s="36"/>
      <c r="T866" s="36"/>
      <c r="U866" s="36"/>
      <c r="V866" s="36"/>
      <c r="W866" s="36"/>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c r="BW866" s="28"/>
      <c r="BX866" s="28"/>
      <c r="BY866" s="28"/>
      <c r="BZ866" s="28"/>
      <c r="CA866" s="28"/>
      <c r="CB866" s="28"/>
      <c r="CC866" s="28"/>
      <c r="CD866" s="28"/>
      <c r="CE866" s="28"/>
      <c r="CF866" s="28"/>
      <c r="CG866" s="28"/>
    </row>
    <row r="867" spans="1:85" ht="12.75" x14ac:dyDescent="0.2">
      <c r="A867" s="28"/>
      <c r="B867" s="28"/>
      <c r="C867" s="28"/>
      <c r="D867" s="28"/>
      <c r="E867" s="28"/>
      <c r="F867" s="28"/>
      <c r="G867" s="28"/>
      <c r="H867" s="28"/>
      <c r="I867" s="28"/>
      <c r="J867" s="28"/>
      <c r="K867" s="36"/>
      <c r="L867" s="28"/>
      <c r="M867" s="28"/>
      <c r="N867" s="28"/>
      <c r="O867" s="28"/>
      <c r="P867" s="28"/>
      <c r="Q867" s="36"/>
      <c r="R867" s="36"/>
      <c r="S867" s="36"/>
      <c r="T867" s="36"/>
      <c r="U867" s="36"/>
      <c r="V867" s="36"/>
      <c r="W867" s="36"/>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c r="BE867" s="28"/>
      <c r="BF867" s="28"/>
      <c r="BG867" s="28"/>
      <c r="BH867" s="28"/>
      <c r="BI867" s="28"/>
      <c r="BJ867" s="28"/>
      <c r="BK867" s="28"/>
      <c r="BL867" s="28"/>
      <c r="BM867" s="28"/>
      <c r="BN867" s="28"/>
      <c r="BO867" s="28"/>
      <c r="BP867" s="28"/>
      <c r="BQ867" s="28"/>
      <c r="BR867" s="28"/>
      <c r="BS867" s="28"/>
      <c r="BT867" s="28"/>
      <c r="BU867" s="28"/>
      <c r="BV867" s="28"/>
      <c r="BW867" s="28"/>
      <c r="BX867" s="28"/>
      <c r="BY867" s="28"/>
      <c r="BZ867" s="28"/>
      <c r="CA867" s="28"/>
      <c r="CB867" s="28"/>
      <c r="CC867" s="28"/>
      <c r="CD867" s="28"/>
      <c r="CE867" s="28"/>
      <c r="CF867" s="28"/>
      <c r="CG867" s="28"/>
    </row>
    <row r="868" spans="1:85" ht="12.75" x14ac:dyDescent="0.2">
      <c r="A868" s="28"/>
      <c r="B868" s="28"/>
      <c r="C868" s="28"/>
      <c r="D868" s="28"/>
      <c r="E868" s="28"/>
      <c r="F868" s="28"/>
      <c r="G868" s="28"/>
      <c r="H868" s="28"/>
      <c r="I868" s="28"/>
      <c r="J868" s="28"/>
      <c r="K868" s="36"/>
      <c r="L868" s="28"/>
      <c r="M868" s="28"/>
      <c r="N868" s="28"/>
      <c r="O868" s="28"/>
      <c r="P868" s="28"/>
      <c r="Q868" s="36"/>
      <c r="R868" s="36"/>
      <c r="S868" s="36"/>
      <c r="T868" s="36"/>
      <c r="U868" s="36"/>
      <c r="V868" s="36"/>
      <c r="W868" s="36"/>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c r="BW868" s="28"/>
      <c r="BX868" s="28"/>
      <c r="BY868" s="28"/>
      <c r="BZ868" s="28"/>
      <c r="CA868" s="28"/>
      <c r="CB868" s="28"/>
      <c r="CC868" s="28"/>
      <c r="CD868" s="28"/>
      <c r="CE868" s="28"/>
      <c r="CF868" s="28"/>
      <c r="CG868" s="28"/>
    </row>
    <row r="869" spans="1:85" ht="12.75" x14ac:dyDescent="0.2">
      <c r="A869" s="28"/>
      <c r="B869" s="28"/>
      <c r="C869" s="28"/>
      <c r="D869" s="28"/>
      <c r="E869" s="28"/>
      <c r="F869" s="28"/>
      <c r="G869" s="28"/>
      <c r="H869" s="28"/>
      <c r="I869" s="28"/>
      <c r="J869" s="28"/>
      <c r="K869" s="36"/>
      <c r="L869" s="28"/>
      <c r="M869" s="28"/>
      <c r="N869" s="28"/>
      <c r="O869" s="28"/>
      <c r="P869" s="28"/>
      <c r="Q869" s="36"/>
      <c r="R869" s="36"/>
      <c r="S869" s="36"/>
      <c r="T869" s="36"/>
      <c r="U869" s="36"/>
      <c r="V869" s="36"/>
      <c r="W869" s="36"/>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c r="BE869" s="28"/>
      <c r="BF869" s="28"/>
      <c r="BG869" s="28"/>
      <c r="BH869" s="28"/>
      <c r="BI869" s="28"/>
      <c r="BJ869" s="28"/>
      <c r="BK869" s="28"/>
      <c r="BL869" s="28"/>
      <c r="BM869" s="28"/>
      <c r="BN869" s="28"/>
      <c r="BO869" s="28"/>
      <c r="BP869" s="28"/>
      <c r="BQ869" s="28"/>
      <c r="BR869" s="28"/>
      <c r="BS869" s="28"/>
      <c r="BT869" s="28"/>
      <c r="BU869" s="28"/>
      <c r="BV869" s="28"/>
      <c r="BW869" s="28"/>
      <c r="BX869" s="28"/>
      <c r="BY869" s="28"/>
      <c r="BZ869" s="28"/>
      <c r="CA869" s="28"/>
      <c r="CB869" s="28"/>
      <c r="CC869" s="28"/>
      <c r="CD869" s="28"/>
      <c r="CE869" s="28"/>
      <c r="CF869" s="28"/>
      <c r="CG869" s="28"/>
    </row>
    <row r="870" spans="1:85" ht="12.75" x14ac:dyDescent="0.2">
      <c r="A870" s="28"/>
      <c r="B870" s="28"/>
      <c r="C870" s="28"/>
      <c r="D870" s="28"/>
      <c r="E870" s="28"/>
      <c r="F870" s="28"/>
      <c r="G870" s="28"/>
      <c r="H870" s="28"/>
      <c r="I870" s="28"/>
      <c r="J870" s="28"/>
      <c r="K870" s="36"/>
      <c r="L870" s="28"/>
      <c r="M870" s="28"/>
      <c r="N870" s="28"/>
      <c r="O870" s="28"/>
      <c r="P870" s="28"/>
      <c r="Q870" s="36"/>
      <c r="R870" s="36"/>
      <c r="S870" s="36"/>
      <c r="T870" s="36"/>
      <c r="U870" s="36"/>
      <c r="V870" s="36"/>
      <c r="W870" s="36"/>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c r="BW870" s="28"/>
      <c r="BX870" s="28"/>
      <c r="BY870" s="28"/>
      <c r="BZ870" s="28"/>
      <c r="CA870" s="28"/>
      <c r="CB870" s="28"/>
      <c r="CC870" s="28"/>
      <c r="CD870" s="28"/>
      <c r="CE870" s="28"/>
      <c r="CF870" s="28"/>
      <c r="CG870" s="28"/>
    </row>
    <row r="871" spans="1:85" ht="12.75" x14ac:dyDescent="0.2">
      <c r="A871" s="28"/>
      <c r="B871" s="28"/>
      <c r="C871" s="28"/>
      <c r="D871" s="28"/>
      <c r="E871" s="28"/>
      <c r="F871" s="28"/>
      <c r="G871" s="28"/>
      <c r="H871" s="28"/>
      <c r="I871" s="28"/>
      <c r="J871" s="28"/>
      <c r="K871" s="36"/>
      <c r="L871" s="28"/>
      <c r="M871" s="28"/>
      <c r="N871" s="28"/>
      <c r="O871" s="28"/>
      <c r="P871" s="28"/>
      <c r="Q871" s="36"/>
      <c r="R871" s="36"/>
      <c r="S871" s="36"/>
      <c r="T871" s="36"/>
      <c r="U871" s="36"/>
      <c r="V871" s="36"/>
      <c r="W871" s="36"/>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c r="BE871" s="28"/>
      <c r="BF871" s="28"/>
      <c r="BG871" s="28"/>
      <c r="BH871" s="28"/>
      <c r="BI871" s="28"/>
      <c r="BJ871" s="28"/>
      <c r="BK871" s="28"/>
      <c r="BL871" s="28"/>
      <c r="BM871" s="28"/>
      <c r="BN871" s="28"/>
      <c r="BO871" s="28"/>
      <c r="BP871" s="28"/>
      <c r="BQ871" s="28"/>
      <c r="BR871" s="28"/>
      <c r="BS871" s="28"/>
      <c r="BT871" s="28"/>
      <c r="BU871" s="28"/>
      <c r="BV871" s="28"/>
      <c r="BW871" s="28"/>
      <c r="BX871" s="28"/>
      <c r="BY871" s="28"/>
      <c r="BZ871" s="28"/>
      <c r="CA871" s="28"/>
      <c r="CB871" s="28"/>
      <c r="CC871" s="28"/>
      <c r="CD871" s="28"/>
      <c r="CE871" s="28"/>
      <c r="CF871" s="28"/>
      <c r="CG871" s="28"/>
    </row>
    <row r="872" spans="1:85" ht="12.75" x14ac:dyDescent="0.2">
      <c r="A872" s="28"/>
      <c r="B872" s="28"/>
      <c r="C872" s="28"/>
      <c r="D872" s="28"/>
      <c r="E872" s="28"/>
      <c r="F872" s="28"/>
      <c r="G872" s="28"/>
      <c r="H872" s="28"/>
      <c r="I872" s="28"/>
      <c r="J872" s="28"/>
      <c r="K872" s="36"/>
      <c r="L872" s="28"/>
      <c r="M872" s="28"/>
      <c r="N872" s="28"/>
      <c r="O872" s="28"/>
      <c r="P872" s="28"/>
      <c r="Q872" s="36"/>
      <c r="R872" s="36"/>
      <c r="S872" s="36"/>
      <c r="T872" s="36"/>
      <c r="U872" s="36"/>
      <c r="V872" s="36"/>
      <c r="W872" s="36"/>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c r="BW872" s="28"/>
      <c r="BX872" s="28"/>
      <c r="BY872" s="28"/>
      <c r="BZ872" s="28"/>
      <c r="CA872" s="28"/>
      <c r="CB872" s="28"/>
      <c r="CC872" s="28"/>
      <c r="CD872" s="28"/>
      <c r="CE872" s="28"/>
      <c r="CF872" s="28"/>
      <c r="CG872" s="28"/>
    </row>
    <row r="873" spans="1:85" ht="12.75" x14ac:dyDescent="0.2">
      <c r="A873" s="28"/>
      <c r="B873" s="28"/>
      <c r="C873" s="28"/>
      <c r="D873" s="28"/>
      <c r="E873" s="28"/>
      <c r="F873" s="28"/>
      <c r="G873" s="28"/>
      <c r="H873" s="28"/>
      <c r="I873" s="28"/>
      <c r="J873" s="28"/>
      <c r="K873" s="36"/>
      <c r="L873" s="28"/>
      <c r="M873" s="28"/>
      <c r="N873" s="28"/>
      <c r="O873" s="28"/>
      <c r="P873" s="28"/>
      <c r="Q873" s="36"/>
      <c r="R873" s="36"/>
      <c r="S873" s="36"/>
      <c r="T873" s="36"/>
      <c r="U873" s="36"/>
      <c r="V873" s="36"/>
      <c r="W873" s="36"/>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c r="BE873" s="28"/>
      <c r="BF873" s="28"/>
      <c r="BG873" s="28"/>
      <c r="BH873" s="28"/>
      <c r="BI873" s="28"/>
      <c r="BJ873" s="28"/>
      <c r="BK873" s="28"/>
      <c r="BL873" s="28"/>
      <c r="BM873" s="28"/>
      <c r="BN873" s="28"/>
      <c r="BO873" s="28"/>
      <c r="BP873" s="28"/>
      <c r="BQ873" s="28"/>
      <c r="BR873" s="28"/>
      <c r="BS873" s="28"/>
      <c r="BT873" s="28"/>
      <c r="BU873" s="28"/>
      <c r="BV873" s="28"/>
      <c r="BW873" s="28"/>
      <c r="BX873" s="28"/>
      <c r="BY873" s="28"/>
      <c r="BZ873" s="28"/>
      <c r="CA873" s="28"/>
      <c r="CB873" s="28"/>
      <c r="CC873" s="28"/>
      <c r="CD873" s="28"/>
      <c r="CE873" s="28"/>
      <c r="CF873" s="28"/>
      <c r="CG873" s="28"/>
    </row>
    <row r="874" spans="1:85" ht="12.75" x14ac:dyDescent="0.2">
      <c r="A874" s="28"/>
      <c r="B874" s="28"/>
      <c r="C874" s="28"/>
      <c r="D874" s="28"/>
      <c r="E874" s="28"/>
      <c r="F874" s="28"/>
      <c r="G874" s="28"/>
      <c r="H874" s="28"/>
      <c r="I874" s="28"/>
      <c r="J874" s="28"/>
      <c r="K874" s="36"/>
      <c r="L874" s="28"/>
      <c r="M874" s="28"/>
      <c r="N874" s="28"/>
      <c r="O874" s="28"/>
      <c r="P874" s="28"/>
      <c r="Q874" s="36"/>
      <c r="R874" s="36"/>
      <c r="S874" s="36"/>
      <c r="T874" s="36"/>
      <c r="U874" s="36"/>
      <c r="V874" s="36"/>
      <c r="W874" s="36"/>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c r="BW874" s="28"/>
      <c r="BX874" s="28"/>
      <c r="BY874" s="28"/>
      <c r="BZ874" s="28"/>
      <c r="CA874" s="28"/>
      <c r="CB874" s="28"/>
      <c r="CC874" s="28"/>
      <c r="CD874" s="28"/>
      <c r="CE874" s="28"/>
      <c r="CF874" s="28"/>
      <c r="CG874" s="28"/>
    </row>
    <row r="875" spans="1:85" ht="12.75" x14ac:dyDescent="0.2">
      <c r="A875" s="28"/>
      <c r="B875" s="28"/>
      <c r="C875" s="28"/>
      <c r="D875" s="28"/>
      <c r="E875" s="28"/>
      <c r="F875" s="28"/>
      <c r="G875" s="28"/>
      <c r="H875" s="28"/>
      <c r="I875" s="28"/>
      <c r="J875" s="28"/>
      <c r="K875" s="36"/>
      <c r="L875" s="28"/>
      <c r="M875" s="28"/>
      <c r="N875" s="28"/>
      <c r="O875" s="28"/>
      <c r="P875" s="28"/>
      <c r="Q875" s="36"/>
      <c r="R875" s="36"/>
      <c r="S875" s="36"/>
      <c r="T875" s="36"/>
      <c r="U875" s="36"/>
      <c r="V875" s="36"/>
      <c r="W875" s="36"/>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c r="BE875" s="28"/>
      <c r="BF875" s="28"/>
      <c r="BG875" s="28"/>
      <c r="BH875" s="28"/>
      <c r="BI875" s="28"/>
      <c r="BJ875" s="28"/>
      <c r="BK875" s="28"/>
      <c r="BL875" s="28"/>
      <c r="BM875" s="28"/>
      <c r="BN875" s="28"/>
      <c r="BO875" s="28"/>
      <c r="BP875" s="28"/>
      <c r="BQ875" s="28"/>
      <c r="BR875" s="28"/>
      <c r="BS875" s="28"/>
      <c r="BT875" s="28"/>
      <c r="BU875" s="28"/>
      <c r="BV875" s="28"/>
      <c r="BW875" s="28"/>
      <c r="BX875" s="28"/>
      <c r="BY875" s="28"/>
      <c r="BZ875" s="28"/>
      <c r="CA875" s="28"/>
      <c r="CB875" s="28"/>
      <c r="CC875" s="28"/>
      <c r="CD875" s="28"/>
      <c r="CE875" s="28"/>
      <c r="CF875" s="28"/>
      <c r="CG875" s="28"/>
    </row>
    <row r="876" spans="1:85" ht="12.75" x14ac:dyDescent="0.2">
      <c r="A876" s="28"/>
      <c r="B876" s="28"/>
      <c r="C876" s="28"/>
      <c r="D876" s="28"/>
      <c r="E876" s="28"/>
      <c r="F876" s="28"/>
      <c r="G876" s="28"/>
      <c r="H876" s="28"/>
      <c r="I876" s="28"/>
      <c r="J876" s="28"/>
      <c r="K876" s="36"/>
      <c r="L876" s="28"/>
      <c r="M876" s="28"/>
      <c r="N876" s="28"/>
      <c r="O876" s="28"/>
      <c r="P876" s="28"/>
      <c r="Q876" s="36"/>
      <c r="R876" s="36"/>
      <c r="S876" s="36"/>
      <c r="T876" s="36"/>
      <c r="U876" s="36"/>
      <c r="V876" s="36"/>
      <c r="W876" s="36"/>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c r="BW876" s="28"/>
      <c r="BX876" s="28"/>
      <c r="BY876" s="28"/>
      <c r="BZ876" s="28"/>
      <c r="CA876" s="28"/>
      <c r="CB876" s="28"/>
      <c r="CC876" s="28"/>
      <c r="CD876" s="28"/>
      <c r="CE876" s="28"/>
      <c r="CF876" s="28"/>
      <c r="CG876" s="28"/>
    </row>
    <row r="877" spans="1:85" ht="12.75" x14ac:dyDescent="0.2">
      <c r="A877" s="28"/>
      <c r="B877" s="28"/>
      <c r="C877" s="28"/>
      <c r="D877" s="28"/>
      <c r="E877" s="28"/>
      <c r="F877" s="28"/>
      <c r="G877" s="28"/>
      <c r="H877" s="28"/>
      <c r="I877" s="28"/>
      <c r="J877" s="28"/>
      <c r="K877" s="36"/>
      <c r="L877" s="28"/>
      <c r="M877" s="28"/>
      <c r="N877" s="28"/>
      <c r="O877" s="28"/>
      <c r="P877" s="28"/>
      <c r="Q877" s="36"/>
      <c r="R877" s="36"/>
      <c r="S877" s="36"/>
      <c r="T877" s="36"/>
      <c r="U877" s="36"/>
      <c r="V877" s="36"/>
      <c r="W877" s="36"/>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c r="BE877" s="28"/>
      <c r="BF877" s="28"/>
      <c r="BG877" s="28"/>
      <c r="BH877" s="28"/>
      <c r="BI877" s="28"/>
      <c r="BJ877" s="28"/>
      <c r="BK877" s="28"/>
      <c r="BL877" s="28"/>
      <c r="BM877" s="28"/>
      <c r="BN877" s="28"/>
      <c r="BO877" s="28"/>
      <c r="BP877" s="28"/>
      <c r="BQ877" s="28"/>
      <c r="BR877" s="28"/>
      <c r="BS877" s="28"/>
      <c r="BT877" s="28"/>
      <c r="BU877" s="28"/>
      <c r="BV877" s="28"/>
      <c r="BW877" s="28"/>
      <c r="BX877" s="28"/>
      <c r="BY877" s="28"/>
      <c r="BZ877" s="28"/>
      <c r="CA877" s="28"/>
      <c r="CB877" s="28"/>
      <c r="CC877" s="28"/>
      <c r="CD877" s="28"/>
      <c r="CE877" s="28"/>
      <c r="CF877" s="28"/>
      <c r="CG877" s="28"/>
    </row>
    <row r="878" spans="1:85" ht="12.75" x14ac:dyDescent="0.2">
      <c r="A878" s="28"/>
      <c r="B878" s="28"/>
      <c r="C878" s="28"/>
      <c r="D878" s="28"/>
      <c r="E878" s="28"/>
      <c r="F878" s="28"/>
      <c r="G878" s="28"/>
      <c r="H878" s="28"/>
      <c r="I878" s="28"/>
      <c r="J878" s="28"/>
      <c r="K878" s="36"/>
      <c r="L878" s="28"/>
      <c r="M878" s="28"/>
      <c r="N878" s="28"/>
      <c r="O878" s="28"/>
      <c r="P878" s="28"/>
      <c r="Q878" s="36"/>
      <c r="R878" s="36"/>
      <c r="S878" s="36"/>
      <c r="T878" s="36"/>
      <c r="U878" s="36"/>
      <c r="V878" s="36"/>
      <c r="W878" s="36"/>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c r="BW878" s="28"/>
      <c r="BX878" s="28"/>
      <c r="BY878" s="28"/>
      <c r="BZ878" s="28"/>
      <c r="CA878" s="28"/>
      <c r="CB878" s="28"/>
      <c r="CC878" s="28"/>
      <c r="CD878" s="28"/>
      <c r="CE878" s="28"/>
      <c r="CF878" s="28"/>
      <c r="CG878" s="28"/>
    </row>
    <row r="879" spans="1:85" ht="12.75" x14ac:dyDescent="0.2">
      <c r="A879" s="28"/>
      <c r="B879" s="28"/>
      <c r="C879" s="28"/>
      <c r="D879" s="28"/>
      <c r="E879" s="28"/>
      <c r="F879" s="28"/>
      <c r="G879" s="28"/>
      <c r="H879" s="28"/>
      <c r="I879" s="28"/>
      <c r="J879" s="28"/>
      <c r="K879" s="36"/>
      <c r="L879" s="28"/>
      <c r="M879" s="28"/>
      <c r="N879" s="28"/>
      <c r="O879" s="28"/>
      <c r="P879" s="28"/>
      <c r="Q879" s="36"/>
      <c r="R879" s="36"/>
      <c r="S879" s="36"/>
      <c r="T879" s="36"/>
      <c r="U879" s="36"/>
      <c r="V879" s="36"/>
      <c r="W879" s="36"/>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c r="BE879" s="28"/>
      <c r="BF879" s="28"/>
      <c r="BG879" s="28"/>
      <c r="BH879" s="28"/>
      <c r="BI879" s="28"/>
      <c r="BJ879" s="28"/>
      <c r="BK879" s="28"/>
      <c r="BL879" s="28"/>
      <c r="BM879" s="28"/>
      <c r="BN879" s="28"/>
      <c r="BO879" s="28"/>
      <c r="BP879" s="28"/>
      <c r="BQ879" s="28"/>
      <c r="BR879" s="28"/>
      <c r="BS879" s="28"/>
      <c r="BT879" s="28"/>
      <c r="BU879" s="28"/>
      <c r="BV879" s="28"/>
      <c r="BW879" s="28"/>
      <c r="BX879" s="28"/>
      <c r="BY879" s="28"/>
      <c r="BZ879" s="28"/>
      <c r="CA879" s="28"/>
      <c r="CB879" s="28"/>
      <c r="CC879" s="28"/>
      <c r="CD879" s="28"/>
      <c r="CE879" s="28"/>
      <c r="CF879" s="28"/>
      <c r="CG879" s="28"/>
    </row>
    <row r="880" spans="1:85" ht="12.75" x14ac:dyDescent="0.2">
      <c r="A880" s="28"/>
      <c r="B880" s="28"/>
      <c r="C880" s="28"/>
      <c r="D880" s="28"/>
      <c r="E880" s="28"/>
      <c r="F880" s="28"/>
      <c r="G880" s="28"/>
      <c r="H880" s="28"/>
      <c r="I880" s="28"/>
      <c r="J880" s="28"/>
      <c r="K880" s="36"/>
      <c r="L880" s="28"/>
      <c r="M880" s="28"/>
      <c r="N880" s="28"/>
      <c r="O880" s="28"/>
      <c r="P880" s="28"/>
      <c r="Q880" s="36"/>
      <c r="R880" s="36"/>
      <c r="S880" s="36"/>
      <c r="T880" s="36"/>
      <c r="U880" s="36"/>
      <c r="V880" s="36"/>
      <c r="W880" s="36"/>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c r="BW880" s="28"/>
      <c r="BX880" s="28"/>
      <c r="BY880" s="28"/>
      <c r="BZ880" s="28"/>
      <c r="CA880" s="28"/>
      <c r="CB880" s="28"/>
      <c r="CC880" s="28"/>
      <c r="CD880" s="28"/>
      <c r="CE880" s="28"/>
      <c r="CF880" s="28"/>
      <c r="CG880" s="28"/>
    </row>
    <row r="881" spans="1:85" ht="12.75" x14ac:dyDescent="0.2">
      <c r="A881" s="28"/>
      <c r="B881" s="28"/>
      <c r="C881" s="28"/>
      <c r="D881" s="28"/>
      <c r="E881" s="28"/>
      <c r="F881" s="28"/>
      <c r="G881" s="28"/>
      <c r="H881" s="28"/>
      <c r="I881" s="28"/>
      <c r="J881" s="28"/>
      <c r="K881" s="36"/>
      <c r="L881" s="28"/>
      <c r="M881" s="28"/>
      <c r="N881" s="28"/>
      <c r="O881" s="28"/>
      <c r="P881" s="28"/>
      <c r="Q881" s="36"/>
      <c r="R881" s="36"/>
      <c r="S881" s="36"/>
      <c r="T881" s="36"/>
      <c r="U881" s="36"/>
      <c r="V881" s="36"/>
      <c r="W881" s="36"/>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c r="BE881" s="28"/>
      <c r="BF881" s="28"/>
      <c r="BG881" s="28"/>
      <c r="BH881" s="28"/>
      <c r="BI881" s="28"/>
      <c r="BJ881" s="28"/>
      <c r="BK881" s="28"/>
      <c r="BL881" s="28"/>
      <c r="BM881" s="28"/>
      <c r="BN881" s="28"/>
      <c r="BO881" s="28"/>
      <c r="BP881" s="28"/>
      <c r="BQ881" s="28"/>
      <c r="BR881" s="28"/>
      <c r="BS881" s="28"/>
      <c r="BT881" s="28"/>
      <c r="BU881" s="28"/>
      <c r="BV881" s="28"/>
      <c r="BW881" s="28"/>
      <c r="BX881" s="28"/>
      <c r="BY881" s="28"/>
      <c r="BZ881" s="28"/>
      <c r="CA881" s="28"/>
      <c r="CB881" s="28"/>
      <c r="CC881" s="28"/>
      <c r="CD881" s="28"/>
      <c r="CE881" s="28"/>
      <c r="CF881" s="28"/>
      <c r="CG881" s="28"/>
    </row>
    <row r="882" spans="1:85" ht="12.75" x14ac:dyDescent="0.2">
      <c r="A882" s="28"/>
      <c r="B882" s="28"/>
      <c r="C882" s="28"/>
      <c r="D882" s="28"/>
      <c r="E882" s="28"/>
      <c r="F882" s="28"/>
      <c r="G882" s="28"/>
      <c r="H882" s="28"/>
      <c r="I882" s="28"/>
      <c r="J882" s="28"/>
      <c r="K882" s="36"/>
      <c r="L882" s="28"/>
      <c r="M882" s="28"/>
      <c r="N882" s="28"/>
      <c r="O882" s="28"/>
      <c r="P882" s="28"/>
      <c r="Q882" s="36"/>
      <c r="R882" s="36"/>
      <c r="S882" s="36"/>
      <c r="T882" s="36"/>
      <c r="U882" s="36"/>
      <c r="V882" s="36"/>
      <c r="W882" s="36"/>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c r="BW882" s="28"/>
      <c r="BX882" s="28"/>
      <c r="BY882" s="28"/>
      <c r="BZ882" s="28"/>
      <c r="CA882" s="28"/>
      <c r="CB882" s="28"/>
      <c r="CC882" s="28"/>
      <c r="CD882" s="28"/>
      <c r="CE882" s="28"/>
      <c r="CF882" s="28"/>
      <c r="CG882" s="28"/>
    </row>
    <row r="883" spans="1:85" ht="12.75" x14ac:dyDescent="0.2">
      <c r="A883" s="28"/>
      <c r="B883" s="28"/>
      <c r="C883" s="28"/>
      <c r="D883" s="28"/>
      <c r="E883" s="28"/>
      <c r="F883" s="28"/>
      <c r="G883" s="28"/>
      <c r="H883" s="28"/>
      <c r="I883" s="28"/>
      <c r="J883" s="28"/>
      <c r="K883" s="36"/>
      <c r="L883" s="28"/>
      <c r="M883" s="28"/>
      <c r="N883" s="28"/>
      <c r="O883" s="28"/>
      <c r="P883" s="28"/>
      <c r="Q883" s="36"/>
      <c r="R883" s="36"/>
      <c r="S883" s="36"/>
      <c r="T883" s="36"/>
      <c r="U883" s="36"/>
      <c r="V883" s="36"/>
      <c r="W883" s="36"/>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c r="BE883" s="28"/>
      <c r="BF883" s="28"/>
      <c r="BG883" s="28"/>
      <c r="BH883" s="28"/>
      <c r="BI883" s="28"/>
      <c r="BJ883" s="28"/>
      <c r="BK883" s="28"/>
      <c r="BL883" s="28"/>
      <c r="BM883" s="28"/>
      <c r="BN883" s="28"/>
      <c r="BO883" s="28"/>
      <c r="BP883" s="28"/>
      <c r="BQ883" s="28"/>
      <c r="BR883" s="28"/>
      <c r="BS883" s="28"/>
      <c r="BT883" s="28"/>
      <c r="BU883" s="28"/>
      <c r="BV883" s="28"/>
      <c r="BW883" s="28"/>
      <c r="BX883" s="28"/>
      <c r="BY883" s="28"/>
      <c r="BZ883" s="28"/>
      <c r="CA883" s="28"/>
      <c r="CB883" s="28"/>
      <c r="CC883" s="28"/>
      <c r="CD883" s="28"/>
      <c r="CE883" s="28"/>
      <c r="CF883" s="28"/>
      <c r="CG883" s="28"/>
    </row>
    <row r="884" spans="1:85" ht="12.75" x14ac:dyDescent="0.2">
      <c r="A884" s="28"/>
      <c r="B884" s="28"/>
      <c r="C884" s="28"/>
      <c r="D884" s="28"/>
      <c r="E884" s="28"/>
      <c r="F884" s="28"/>
      <c r="G884" s="28"/>
      <c r="H884" s="28"/>
      <c r="I884" s="28"/>
      <c r="J884" s="28"/>
      <c r="K884" s="36"/>
      <c r="L884" s="28"/>
      <c r="M884" s="28"/>
      <c r="N884" s="28"/>
      <c r="O884" s="28"/>
      <c r="P884" s="28"/>
      <c r="Q884" s="36"/>
      <c r="R884" s="36"/>
      <c r="S884" s="36"/>
      <c r="T884" s="36"/>
      <c r="U884" s="36"/>
      <c r="V884" s="36"/>
      <c r="W884" s="36"/>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c r="BW884" s="28"/>
      <c r="BX884" s="28"/>
      <c r="BY884" s="28"/>
      <c r="BZ884" s="28"/>
      <c r="CA884" s="28"/>
      <c r="CB884" s="28"/>
      <c r="CC884" s="28"/>
      <c r="CD884" s="28"/>
      <c r="CE884" s="28"/>
      <c r="CF884" s="28"/>
      <c r="CG884" s="28"/>
    </row>
    <row r="885" spans="1:85" ht="12.75" x14ac:dyDescent="0.2">
      <c r="A885" s="28"/>
      <c r="B885" s="28"/>
      <c r="C885" s="28"/>
      <c r="D885" s="28"/>
      <c r="E885" s="28"/>
      <c r="F885" s="28"/>
      <c r="G885" s="28"/>
      <c r="H885" s="28"/>
      <c r="I885" s="28"/>
      <c r="J885" s="28"/>
      <c r="K885" s="36"/>
      <c r="L885" s="28"/>
      <c r="M885" s="28"/>
      <c r="N885" s="28"/>
      <c r="O885" s="28"/>
      <c r="P885" s="28"/>
      <c r="Q885" s="36"/>
      <c r="R885" s="36"/>
      <c r="S885" s="36"/>
      <c r="T885" s="36"/>
      <c r="U885" s="36"/>
      <c r="V885" s="36"/>
      <c r="W885" s="36"/>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c r="BE885" s="28"/>
      <c r="BF885" s="28"/>
      <c r="BG885" s="28"/>
      <c r="BH885" s="28"/>
      <c r="BI885" s="28"/>
      <c r="BJ885" s="28"/>
      <c r="BK885" s="28"/>
      <c r="BL885" s="28"/>
      <c r="BM885" s="28"/>
      <c r="BN885" s="28"/>
      <c r="BO885" s="28"/>
      <c r="BP885" s="28"/>
      <c r="BQ885" s="28"/>
      <c r="BR885" s="28"/>
      <c r="BS885" s="28"/>
      <c r="BT885" s="28"/>
      <c r="BU885" s="28"/>
      <c r="BV885" s="28"/>
      <c r="BW885" s="28"/>
      <c r="BX885" s="28"/>
      <c r="BY885" s="28"/>
      <c r="BZ885" s="28"/>
      <c r="CA885" s="28"/>
      <c r="CB885" s="28"/>
      <c r="CC885" s="28"/>
      <c r="CD885" s="28"/>
      <c r="CE885" s="28"/>
      <c r="CF885" s="28"/>
      <c r="CG885" s="28"/>
    </row>
    <row r="886" spans="1:85" ht="12.75" x14ac:dyDescent="0.2">
      <c r="A886" s="28"/>
      <c r="B886" s="28"/>
      <c r="C886" s="28"/>
      <c r="D886" s="28"/>
      <c r="E886" s="28"/>
      <c r="F886" s="28"/>
      <c r="G886" s="28"/>
      <c r="H886" s="28"/>
      <c r="I886" s="28"/>
      <c r="J886" s="28"/>
      <c r="K886" s="36"/>
      <c r="L886" s="28"/>
      <c r="M886" s="28"/>
      <c r="N886" s="28"/>
      <c r="O886" s="28"/>
      <c r="P886" s="28"/>
      <c r="Q886" s="36"/>
      <c r="R886" s="36"/>
      <c r="S886" s="36"/>
      <c r="T886" s="36"/>
      <c r="U886" s="36"/>
      <c r="V886" s="36"/>
      <c r="W886" s="36"/>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c r="BW886" s="28"/>
      <c r="BX886" s="28"/>
      <c r="BY886" s="28"/>
      <c r="BZ886" s="28"/>
      <c r="CA886" s="28"/>
      <c r="CB886" s="28"/>
      <c r="CC886" s="28"/>
      <c r="CD886" s="28"/>
      <c r="CE886" s="28"/>
      <c r="CF886" s="28"/>
      <c r="CG886" s="28"/>
    </row>
    <row r="887" spans="1:85" ht="12.75" x14ac:dyDescent="0.2">
      <c r="A887" s="28"/>
      <c r="B887" s="28"/>
      <c r="C887" s="28"/>
      <c r="D887" s="28"/>
      <c r="E887" s="28"/>
      <c r="F887" s="28"/>
      <c r="G887" s="28"/>
      <c r="H887" s="28"/>
      <c r="I887" s="28"/>
      <c r="J887" s="28"/>
      <c r="K887" s="36"/>
      <c r="L887" s="28"/>
      <c r="M887" s="28"/>
      <c r="N887" s="28"/>
      <c r="O887" s="28"/>
      <c r="P887" s="28"/>
      <c r="Q887" s="36"/>
      <c r="R887" s="36"/>
      <c r="S887" s="36"/>
      <c r="T887" s="36"/>
      <c r="U887" s="36"/>
      <c r="V887" s="36"/>
      <c r="W887" s="36"/>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c r="BE887" s="28"/>
      <c r="BF887" s="28"/>
      <c r="BG887" s="28"/>
      <c r="BH887" s="28"/>
      <c r="BI887" s="28"/>
      <c r="BJ887" s="28"/>
      <c r="BK887" s="28"/>
      <c r="BL887" s="28"/>
      <c r="BM887" s="28"/>
      <c r="BN887" s="28"/>
      <c r="BO887" s="28"/>
      <c r="BP887" s="28"/>
      <c r="BQ887" s="28"/>
      <c r="BR887" s="28"/>
      <c r="BS887" s="28"/>
      <c r="BT887" s="28"/>
      <c r="BU887" s="28"/>
      <c r="BV887" s="28"/>
      <c r="BW887" s="28"/>
      <c r="BX887" s="28"/>
      <c r="BY887" s="28"/>
      <c r="BZ887" s="28"/>
      <c r="CA887" s="28"/>
      <c r="CB887" s="28"/>
      <c r="CC887" s="28"/>
      <c r="CD887" s="28"/>
      <c r="CE887" s="28"/>
      <c r="CF887" s="28"/>
      <c r="CG887" s="28"/>
    </row>
    <row r="888" spans="1:85" ht="12.75" x14ac:dyDescent="0.2">
      <c r="A888" s="28"/>
      <c r="B888" s="28"/>
      <c r="C888" s="28"/>
      <c r="D888" s="28"/>
      <c r="E888" s="28"/>
      <c r="F888" s="28"/>
      <c r="G888" s="28"/>
      <c r="H888" s="28"/>
      <c r="I888" s="28"/>
      <c r="J888" s="28"/>
      <c r="K888" s="36"/>
      <c r="L888" s="28"/>
      <c r="M888" s="28"/>
      <c r="N888" s="28"/>
      <c r="O888" s="28"/>
      <c r="P888" s="28"/>
      <c r="Q888" s="36"/>
      <c r="R888" s="36"/>
      <c r="S888" s="36"/>
      <c r="T888" s="36"/>
      <c r="U888" s="36"/>
      <c r="V888" s="36"/>
      <c r="W888" s="36"/>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c r="BW888" s="28"/>
      <c r="BX888" s="28"/>
      <c r="BY888" s="28"/>
      <c r="BZ888" s="28"/>
      <c r="CA888" s="28"/>
      <c r="CB888" s="28"/>
      <c r="CC888" s="28"/>
      <c r="CD888" s="28"/>
      <c r="CE888" s="28"/>
      <c r="CF888" s="28"/>
      <c r="CG888" s="28"/>
    </row>
    <row r="889" spans="1:85" ht="12.75" x14ac:dyDescent="0.2">
      <c r="A889" s="28"/>
      <c r="B889" s="28"/>
      <c r="C889" s="28"/>
      <c r="D889" s="28"/>
      <c r="E889" s="28"/>
      <c r="F889" s="28"/>
      <c r="G889" s="28"/>
      <c r="H889" s="28"/>
      <c r="I889" s="28"/>
      <c r="J889" s="28"/>
      <c r="K889" s="36"/>
      <c r="L889" s="28"/>
      <c r="M889" s="28"/>
      <c r="N889" s="28"/>
      <c r="O889" s="28"/>
      <c r="P889" s="28"/>
      <c r="Q889" s="36"/>
      <c r="R889" s="36"/>
      <c r="S889" s="36"/>
      <c r="T889" s="36"/>
      <c r="U889" s="36"/>
      <c r="V889" s="36"/>
      <c r="W889" s="36"/>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c r="BE889" s="28"/>
      <c r="BF889" s="28"/>
      <c r="BG889" s="28"/>
      <c r="BH889" s="28"/>
      <c r="BI889" s="28"/>
      <c r="BJ889" s="28"/>
      <c r="BK889" s="28"/>
      <c r="BL889" s="28"/>
      <c r="BM889" s="28"/>
      <c r="BN889" s="28"/>
      <c r="BO889" s="28"/>
      <c r="BP889" s="28"/>
      <c r="BQ889" s="28"/>
      <c r="BR889" s="28"/>
      <c r="BS889" s="28"/>
      <c r="BT889" s="28"/>
      <c r="BU889" s="28"/>
      <c r="BV889" s="28"/>
      <c r="BW889" s="28"/>
      <c r="BX889" s="28"/>
      <c r="BY889" s="28"/>
      <c r="BZ889" s="28"/>
      <c r="CA889" s="28"/>
      <c r="CB889" s="28"/>
      <c r="CC889" s="28"/>
      <c r="CD889" s="28"/>
      <c r="CE889" s="28"/>
      <c r="CF889" s="28"/>
      <c r="CG889" s="28"/>
    </row>
    <row r="890" spans="1:85" ht="12.75" x14ac:dyDescent="0.2">
      <c r="A890" s="28"/>
      <c r="B890" s="28"/>
      <c r="C890" s="28"/>
      <c r="D890" s="28"/>
      <c r="E890" s="28"/>
      <c r="F890" s="28"/>
      <c r="G890" s="28"/>
      <c r="H890" s="28"/>
      <c r="I890" s="28"/>
      <c r="J890" s="28"/>
      <c r="K890" s="36"/>
      <c r="L890" s="28"/>
      <c r="M890" s="28"/>
      <c r="N890" s="28"/>
      <c r="O890" s="28"/>
      <c r="P890" s="28"/>
      <c r="Q890" s="36"/>
      <c r="R890" s="36"/>
      <c r="S890" s="36"/>
      <c r="T890" s="36"/>
      <c r="U890" s="36"/>
      <c r="V890" s="36"/>
      <c r="W890" s="36"/>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c r="BW890" s="28"/>
      <c r="BX890" s="28"/>
      <c r="BY890" s="28"/>
      <c r="BZ890" s="28"/>
      <c r="CA890" s="28"/>
      <c r="CB890" s="28"/>
      <c r="CC890" s="28"/>
      <c r="CD890" s="28"/>
      <c r="CE890" s="28"/>
      <c r="CF890" s="28"/>
      <c r="CG890" s="28"/>
    </row>
    <row r="891" spans="1:85" ht="12.75" x14ac:dyDescent="0.2">
      <c r="A891" s="28"/>
      <c r="B891" s="28"/>
      <c r="C891" s="28"/>
      <c r="D891" s="28"/>
      <c r="E891" s="28"/>
      <c r="F891" s="28"/>
      <c r="G891" s="28"/>
      <c r="H891" s="28"/>
      <c r="I891" s="28"/>
      <c r="J891" s="28"/>
      <c r="K891" s="36"/>
      <c r="L891" s="28"/>
      <c r="M891" s="28"/>
      <c r="N891" s="28"/>
      <c r="O891" s="28"/>
      <c r="P891" s="28"/>
      <c r="Q891" s="36"/>
      <c r="R891" s="36"/>
      <c r="S891" s="36"/>
      <c r="T891" s="36"/>
      <c r="U891" s="36"/>
      <c r="V891" s="36"/>
      <c r="W891" s="36"/>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c r="BE891" s="28"/>
      <c r="BF891" s="28"/>
      <c r="BG891" s="28"/>
      <c r="BH891" s="28"/>
      <c r="BI891" s="28"/>
      <c r="BJ891" s="28"/>
      <c r="BK891" s="28"/>
      <c r="BL891" s="28"/>
      <c r="BM891" s="28"/>
      <c r="BN891" s="28"/>
      <c r="BO891" s="28"/>
      <c r="BP891" s="28"/>
      <c r="BQ891" s="28"/>
      <c r="BR891" s="28"/>
      <c r="BS891" s="28"/>
      <c r="BT891" s="28"/>
      <c r="BU891" s="28"/>
      <c r="BV891" s="28"/>
      <c r="BW891" s="28"/>
      <c r="BX891" s="28"/>
      <c r="BY891" s="28"/>
      <c r="BZ891" s="28"/>
      <c r="CA891" s="28"/>
      <c r="CB891" s="28"/>
      <c r="CC891" s="28"/>
      <c r="CD891" s="28"/>
      <c r="CE891" s="28"/>
      <c r="CF891" s="28"/>
      <c r="CG891" s="28"/>
    </row>
    <row r="892" spans="1:85" ht="12.75" x14ac:dyDescent="0.2">
      <c r="A892" s="28"/>
      <c r="B892" s="28"/>
      <c r="C892" s="28"/>
      <c r="D892" s="28"/>
      <c r="E892" s="28"/>
      <c r="F892" s="28"/>
      <c r="G892" s="28"/>
      <c r="H892" s="28"/>
      <c r="I892" s="28"/>
      <c r="J892" s="28"/>
      <c r="K892" s="36"/>
      <c r="L892" s="28"/>
      <c r="M892" s="28"/>
      <c r="N892" s="28"/>
      <c r="O892" s="28"/>
      <c r="P892" s="28"/>
      <c r="Q892" s="36"/>
      <c r="R892" s="36"/>
      <c r="S892" s="36"/>
      <c r="T892" s="36"/>
      <c r="U892" s="36"/>
      <c r="V892" s="36"/>
      <c r="W892" s="36"/>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c r="BW892" s="28"/>
      <c r="BX892" s="28"/>
      <c r="BY892" s="28"/>
      <c r="BZ892" s="28"/>
      <c r="CA892" s="28"/>
      <c r="CB892" s="28"/>
      <c r="CC892" s="28"/>
      <c r="CD892" s="28"/>
      <c r="CE892" s="28"/>
      <c r="CF892" s="28"/>
      <c r="CG892" s="28"/>
    </row>
    <row r="893" spans="1:85" ht="12.75" x14ac:dyDescent="0.2">
      <c r="A893" s="28"/>
      <c r="B893" s="28"/>
      <c r="C893" s="28"/>
      <c r="D893" s="28"/>
      <c r="E893" s="28"/>
      <c r="F893" s="28"/>
      <c r="G893" s="28"/>
      <c r="H893" s="28"/>
      <c r="I893" s="28"/>
      <c r="J893" s="28"/>
      <c r="K893" s="36"/>
      <c r="L893" s="28"/>
      <c r="M893" s="28"/>
      <c r="N893" s="28"/>
      <c r="O893" s="28"/>
      <c r="P893" s="28"/>
      <c r="Q893" s="36"/>
      <c r="R893" s="36"/>
      <c r="S893" s="36"/>
      <c r="T893" s="36"/>
      <c r="U893" s="36"/>
      <c r="V893" s="36"/>
      <c r="W893" s="36"/>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c r="BE893" s="28"/>
      <c r="BF893" s="28"/>
      <c r="BG893" s="28"/>
      <c r="BH893" s="28"/>
      <c r="BI893" s="28"/>
      <c r="BJ893" s="28"/>
      <c r="BK893" s="28"/>
      <c r="BL893" s="28"/>
      <c r="BM893" s="28"/>
      <c r="BN893" s="28"/>
      <c r="BO893" s="28"/>
      <c r="BP893" s="28"/>
      <c r="BQ893" s="28"/>
      <c r="BR893" s="28"/>
      <c r="BS893" s="28"/>
      <c r="BT893" s="28"/>
      <c r="BU893" s="28"/>
      <c r="BV893" s="28"/>
      <c r="BW893" s="28"/>
      <c r="BX893" s="28"/>
      <c r="BY893" s="28"/>
      <c r="BZ893" s="28"/>
      <c r="CA893" s="28"/>
      <c r="CB893" s="28"/>
      <c r="CC893" s="28"/>
      <c r="CD893" s="28"/>
      <c r="CE893" s="28"/>
      <c r="CF893" s="28"/>
      <c r="CG893" s="28"/>
    </row>
    <row r="894" spans="1:85" ht="12.75" x14ac:dyDescent="0.2">
      <c r="A894" s="28"/>
      <c r="B894" s="28"/>
      <c r="C894" s="28"/>
      <c r="D894" s="28"/>
      <c r="E894" s="28"/>
      <c r="F894" s="28"/>
      <c r="G894" s="28"/>
      <c r="H894" s="28"/>
      <c r="I894" s="28"/>
      <c r="J894" s="28"/>
      <c r="K894" s="36"/>
      <c r="L894" s="28"/>
      <c r="M894" s="28"/>
      <c r="N894" s="28"/>
      <c r="O894" s="28"/>
      <c r="P894" s="28"/>
      <c r="Q894" s="36"/>
      <c r="R894" s="36"/>
      <c r="S894" s="36"/>
      <c r="T894" s="36"/>
      <c r="U894" s="36"/>
      <c r="V894" s="36"/>
      <c r="W894" s="36"/>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c r="BW894" s="28"/>
      <c r="BX894" s="28"/>
      <c r="BY894" s="28"/>
      <c r="BZ894" s="28"/>
      <c r="CA894" s="28"/>
      <c r="CB894" s="28"/>
      <c r="CC894" s="28"/>
      <c r="CD894" s="28"/>
      <c r="CE894" s="28"/>
      <c r="CF894" s="28"/>
      <c r="CG894" s="28"/>
    </row>
    <row r="895" spans="1:85" ht="12.75" x14ac:dyDescent="0.2">
      <c r="A895" s="28"/>
      <c r="B895" s="28"/>
      <c r="C895" s="28"/>
      <c r="D895" s="28"/>
      <c r="E895" s="28"/>
      <c r="F895" s="28"/>
      <c r="G895" s="28"/>
      <c r="H895" s="28"/>
      <c r="I895" s="28"/>
      <c r="J895" s="28"/>
      <c r="K895" s="36"/>
      <c r="L895" s="28"/>
      <c r="M895" s="28"/>
      <c r="N895" s="28"/>
      <c r="O895" s="28"/>
      <c r="P895" s="28"/>
      <c r="Q895" s="36"/>
      <c r="R895" s="36"/>
      <c r="S895" s="36"/>
      <c r="T895" s="36"/>
      <c r="U895" s="36"/>
      <c r="V895" s="36"/>
      <c r="W895" s="36"/>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c r="BE895" s="28"/>
      <c r="BF895" s="28"/>
      <c r="BG895" s="28"/>
      <c r="BH895" s="28"/>
      <c r="BI895" s="28"/>
      <c r="BJ895" s="28"/>
      <c r="BK895" s="28"/>
      <c r="BL895" s="28"/>
      <c r="BM895" s="28"/>
      <c r="BN895" s="28"/>
      <c r="BO895" s="28"/>
      <c r="BP895" s="28"/>
      <c r="BQ895" s="28"/>
      <c r="BR895" s="28"/>
      <c r="BS895" s="28"/>
      <c r="BT895" s="28"/>
      <c r="BU895" s="28"/>
      <c r="BV895" s="28"/>
      <c r="BW895" s="28"/>
      <c r="BX895" s="28"/>
      <c r="BY895" s="28"/>
      <c r="BZ895" s="28"/>
      <c r="CA895" s="28"/>
      <c r="CB895" s="28"/>
      <c r="CC895" s="28"/>
      <c r="CD895" s="28"/>
      <c r="CE895" s="28"/>
      <c r="CF895" s="28"/>
      <c r="CG895" s="28"/>
    </row>
    <row r="896" spans="1:85" ht="12.75" x14ac:dyDescent="0.2">
      <c r="A896" s="28"/>
      <c r="B896" s="28"/>
      <c r="C896" s="28"/>
      <c r="D896" s="28"/>
      <c r="E896" s="28"/>
      <c r="F896" s="28"/>
      <c r="G896" s="28"/>
      <c r="H896" s="28"/>
      <c r="I896" s="28"/>
      <c r="J896" s="28"/>
      <c r="K896" s="36"/>
      <c r="L896" s="28"/>
      <c r="M896" s="28"/>
      <c r="N896" s="28"/>
      <c r="O896" s="28"/>
      <c r="P896" s="28"/>
      <c r="Q896" s="36"/>
      <c r="R896" s="36"/>
      <c r="S896" s="36"/>
      <c r="T896" s="36"/>
      <c r="U896" s="36"/>
      <c r="V896" s="36"/>
      <c r="W896" s="36"/>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c r="BW896" s="28"/>
      <c r="BX896" s="28"/>
      <c r="BY896" s="28"/>
      <c r="BZ896" s="28"/>
      <c r="CA896" s="28"/>
      <c r="CB896" s="28"/>
      <c r="CC896" s="28"/>
      <c r="CD896" s="28"/>
      <c r="CE896" s="28"/>
      <c r="CF896" s="28"/>
      <c r="CG896" s="28"/>
    </row>
    <row r="897" spans="1:85" ht="12.75" x14ac:dyDescent="0.2">
      <c r="A897" s="28"/>
      <c r="B897" s="28"/>
      <c r="C897" s="28"/>
      <c r="D897" s="28"/>
      <c r="E897" s="28"/>
      <c r="F897" s="28"/>
      <c r="G897" s="28"/>
      <c r="H897" s="28"/>
      <c r="I897" s="28"/>
      <c r="J897" s="28"/>
      <c r="K897" s="36"/>
      <c r="L897" s="28"/>
      <c r="M897" s="28"/>
      <c r="N897" s="28"/>
      <c r="O897" s="28"/>
      <c r="P897" s="28"/>
      <c r="Q897" s="36"/>
      <c r="R897" s="36"/>
      <c r="S897" s="36"/>
      <c r="T897" s="36"/>
      <c r="U897" s="36"/>
      <c r="V897" s="36"/>
      <c r="W897" s="36"/>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c r="BE897" s="28"/>
      <c r="BF897" s="28"/>
      <c r="BG897" s="28"/>
      <c r="BH897" s="28"/>
      <c r="BI897" s="28"/>
      <c r="BJ897" s="28"/>
      <c r="BK897" s="28"/>
      <c r="BL897" s="28"/>
      <c r="BM897" s="28"/>
      <c r="BN897" s="28"/>
      <c r="BO897" s="28"/>
      <c r="BP897" s="28"/>
      <c r="BQ897" s="28"/>
      <c r="BR897" s="28"/>
      <c r="BS897" s="28"/>
      <c r="BT897" s="28"/>
      <c r="BU897" s="28"/>
      <c r="BV897" s="28"/>
      <c r="BW897" s="28"/>
      <c r="BX897" s="28"/>
      <c r="BY897" s="28"/>
      <c r="BZ897" s="28"/>
      <c r="CA897" s="28"/>
      <c r="CB897" s="28"/>
      <c r="CC897" s="28"/>
      <c r="CD897" s="28"/>
      <c r="CE897" s="28"/>
      <c r="CF897" s="28"/>
      <c r="CG897" s="28"/>
    </row>
    <row r="898" spans="1:85" ht="12.75" x14ac:dyDescent="0.2">
      <c r="A898" s="28"/>
      <c r="B898" s="28"/>
      <c r="C898" s="28"/>
      <c r="D898" s="28"/>
      <c r="E898" s="28"/>
      <c r="F898" s="28"/>
      <c r="G898" s="28"/>
      <c r="H898" s="28"/>
      <c r="I898" s="28"/>
      <c r="J898" s="28"/>
      <c r="K898" s="36"/>
      <c r="L898" s="28"/>
      <c r="M898" s="28"/>
      <c r="N898" s="28"/>
      <c r="O898" s="28"/>
      <c r="P898" s="28"/>
      <c r="Q898" s="36"/>
      <c r="R898" s="36"/>
      <c r="S898" s="36"/>
      <c r="T898" s="36"/>
      <c r="U898" s="36"/>
      <c r="V898" s="36"/>
      <c r="W898" s="36"/>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row>
    <row r="899" spans="1:85" ht="12.75" x14ac:dyDescent="0.2">
      <c r="A899" s="28"/>
      <c r="B899" s="28"/>
      <c r="C899" s="28"/>
      <c r="D899" s="28"/>
      <c r="E899" s="28"/>
      <c r="F899" s="28"/>
      <c r="G899" s="28"/>
      <c r="H899" s="28"/>
      <c r="I899" s="28"/>
      <c r="J899" s="28"/>
      <c r="K899" s="36"/>
      <c r="L899" s="28"/>
      <c r="M899" s="28"/>
      <c r="N899" s="28"/>
      <c r="O899" s="28"/>
      <c r="P899" s="28"/>
      <c r="Q899" s="36"/>
      <c r="R899" s="36"/>
      <c r="S899" s="36"/>
      <c r="T899" s="36"/>
      <c r="U899" s="36"/>
      <c r="V899" s="36"/>
      <c r="W899" s="36"/>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c r="BE899" s="28"/>
      <c r="BF899" s="28"/>
      <c r="BG899" s="28"/>
      <c r="BH899" s="28"/>
      <c r="BI899" s="28"/>
      <c r="BJ899" s="28"/>
      <c r="BK899" s="28"/>
      <c r="BL899" s="28"/>
      <c r="BM899" s="28"/>
      <c r="BN899" s="28"/>
      <c r="BO899" s="28"/>
      <c r="BP899" s="28"/>
      <c r="BQ899" s="28"/>
      <c r="BR899" s="28"/>
      <c r="BS899" s="28"/>
      <c r="BT899" s="28"/>
      <c r="BU899" s="28"/>
      <c r="BV899" s="28"/>
      <c r="BW899" s="28"/>
      <c r="BX899" s="28"/>
      <c r="BY899" s="28"/>
      <c r="BZ899" s="28"/>
      <c r="CA899" s="28"/>
      <c r="CB899" s="28"/>
      <c r="CC899" s="28"/>
      <c r="CD899" s="28"/>
      <c r="CE899" s="28"/>
      <c r="CF899" s="28"/>
      <c r="CG899" s="28"/>
    </row>
    <row r="900" spans="1:85" ht="12.75" x14ac:dyDescent="0.2">
      <c r="A900" s="28"/>
      <c r="B900" s="28"/>
      <c r="C900" s="28"/>
      <c r="D900" s="28"/>
      <c r="E900" s="28"/>
      <c r="F900" s="28"/>
      <c r="G900" s="28"/>
      <c r="H900" s="28"/>
      <c r="I900" s="28"/>
      <c r="J900" s="28"/>
      <c r="K900" s="36"/>
      <c r="L900" s="28"/>
      <c r="M900" s="28"/>
      <c r="N900" s="28"/>
      <c r="O900" s="28"/>
      <c r="P900" s="28"/>
      <c r="Q900" s="36"/>
      <c r="R900" s="36"/>
      <c r="S900" s="36"/>
      <c r="T900" s="36"/>
      <c r="U900" s="36"/>
      <c r="V900" s="36"/>
      <c r="W900" s="36"/>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c r="BW900" s="28"/>
      <c r="BX900" s="28"/>
      <c r="BY900" s="28"/>
      <c r="BZ900" s="28"/>
      <c r="CA900" s="28"/>
      <c r="CB900" s="28"/>
      <c r="CC900" s="28"/>
      <c r="CD900" s="28"/>
      <c r="CE900" s="28"/>
      <c r="CF900" s="28"/>
      <c r="CG900" s="28"/>
    </row>
    <row r="901" spans="1:85" ht="12.75" x14ac:dyDescent="0.2">
      <c r="A901" s="28"/>
      <c r="B901" s="28"/>
      <c r="C901" s="28"/>
      <c r="D901" s="28"/>
      <c r="E901" s="28"/>
      <c r="F901" s="28"/>
      <c r="G901" s="28"/>
      <c r="H901" s="28"/>
      <c r="I901" s="28"/>
      <c r="J901" s="28"/>
      <c r="K901" s="36"/>
      <c r="L901" s="28"/>
      <c r="M901" s="28"/>
      <c r="N901" s="28"/>
      <c r="O901" s="28"/>
      <c r="P901" s="28"/>
      <c r="Q901" s="36"/>
      <c r="R901" s="36"/>
      <c r="S901" s="36"/>
      <c r="T901" s="36"/>
      <c r="U901" s="36"/>
      <c r="V901" s="36"/>
      <c r="W901" s="36"/>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c r="BE901" s="28"/>
      <c r="BF901" s="28"/>
      <c r="BG901" s="28"/>
      <c r="BH901" s="28"/>
      <c r="BI901" s="28"/>
      <c r="BJ901" s="28"/>
      <c r="BK901" s="28"/>
      <c r="BL901" s="28"/>
      <c r="BM901" s="28"/>
      <c r="BN901" s="28"/>
      <c r="BO901" s="28"/>
      <c r="BP901" s="28"/>
      <c r="BQ901" s="28"/>
      <c r="BR901" s="28"/>
      <c r="BS901" s="28"/>
      <c r="BT901" s="28"/>
      <c r="BU901" s="28"/>
      <c r="BV901" s="28"/>
      <c r="BW901" s="28"/>
      <c r="BX901" s="28"/>
      <c r="BY901" s="28"/>
      <c r="BZ901" s="28"/>
      <c r="CA901" s="28"/>
      <c r="CB901" s="28"/>
      <c r="CC901" s="28"/>
      <c r="CD901" s="28"/>
      <c r="CE901" s="28"/>
      <c r="CF901" s="28"/>
      <c r="CG901" s="28"/>
    </row>
    <row r="902" spans="1:85" ht="12.75" x14ac:dyDescent="0.2">
      <c r="A902" s="28"/>
      <c r="B902" s="28"/>
      <c r="C902" s="28"/>
      <c r="D902" s="28"/>
      <c r="E902" s="28"/>
      <c r="F902" s="28"/>
      <c r="G902" s="28"/>
      <c r="H902" s="28"/>
      <c r="I902" s="28"/>
      <c r="J902" s="28"/>
      <c r="K902" s="36"/>
      <c r="L902" s="28"/>
      <c r="M902" s="28"/>
      <c r="N902" s="28"/>
      <c r="O902" s="28"/>
      <c r="P902" s="28"/>
      <c r="Q902" s="36"/>
      <c r="R902" s="36"/>
      <c r="S902" s="36"/>
      <c r="T902" s="36"/>
      <c r="U902" s="36"/>
      <c r="V902" s="36"/>
      <c r="W902" s="36"/>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c r="BW902" s="28"/>
      <c r="BX902" s="28"/>
      <c r="BY902" s="28"/>
      <c r="BZ902" s="28"/>
      <c r="CA902" s="28"/>
      <c r="CB902" s="28"/>
      <c r="CC902" s="28"/>
      <c r="CD902" s="28"/>
      <c r="CE902" s="28"/>
      <c r="CF902" s="28"/>
      <c r="CG902" s="28"/>
    </row>
    <row r="903" spans="1:85" ht="12.75" x14ac:dyDescent="0.2">
      <c r="A903" s="28"/>
      <c r="B903" s="28"/>
      <c r="C903" s="28"/>
      <c r="D903" s="28"/>
      <c r="E903" s="28"/>
      <c r="F903" s="28"/>
      <c r="G903" s="28"/>
      <c r="H903" s="28"/>
      <c r="I903" s="28"/>
      <c r="J903" s="28"/>
      <c r="K903" s="36"/>
      <c r="L903" s="28"/>
      <c r="M903" s="28"/>
      <c r="N903" s="28"/>
      <c r="O903" s="28"/>
      <c r="P903" s="28"/>
      <c r="Q903" s="36"/>
      <c r="R903" s="36"/>
      <c r="S903" s="36"/>
      <c r="T903" s="36"/>
      <c r="U903" s="36"/>
      <c r="V903" s="36"/>
      <c r="W903" s="36"/>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c r="BE903" s="28"/>
      <c r="BF903" s="28"/>
      <c r="BG903" s="28"/>
      <c r="BH903" s="28"/>
      <c r="BI903" s="28"/>
      <c r="BJ903" s="28"/>
      <c r="BK903" s="28"/>
      <c r="BL903" s="28"/>
      <c r="BM903" s="28"/>
      <c r="BN903" s="28"/>
      <c r="BO903" s="28"/>
      <c r="BP903" s="28"/>
      <c r="BQ903" s="28"/>
      <c r="BR903" s="28"/>
      <c r="BS903" s="28"/>
      <c r="BT903" s="28"/>
      <c r="BU903" s="28"/>
      <c r="BV903" s="28"/>
      <c r="BW903" s="28"/>
      <c r="BX903" s="28"/>
      <c r="BY903" s="28"/>
      <c r="BZ903" s="28"/>
      <c r="CA903" s="28"/>
      <c r="CB903" s="28"/>
      <c r="CC903" s="28"/>
      <c r="CD903" s="28"/>
      <c r="CE903" s="28"/>
      <c r="CF903" s="28"/>
      <c r="CG903" s="28"/>
    </row>
    <row r="904" spans="1:85" ht="12.75" x14ac:dyDescent="0.2">
      <c r="A904" s="28"/>
      <c r="B904" s="28"/>
      <c r="C904" s="28"/>
      <c r="D904" s="28"/>
      <c r="E904" s="28"/>
      <c r="F904" s="28"/>
      <c r="G904" s="28"/>
      <c r="H904" s="28"/>
      <c r="I904" s="28"/>
      <c r="J904" s="28"/>
      <c r="K904" s="36"/>
      <c r="L904" s="28"/>
      <c r="M904" s="28"/>
      <c r="N904" s="28"/>
      <c r="O904" s="28"/>
      <c r="P904" s="28"/>
      <c r="Q904" s="36"/>
      <c r="R904" s="36"/>
      <c r="S904" s="36"/>
      <c r="T904" s="36"/>
      <c r="U904" s="36"/>
      <c r="V904" s="36"/>
      <c r="W904" s="36"/>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c r="BW904" s="28"/>
      <c r="BX904" s="28"/>
      <c r="BY904" s="28"/>
      <c r="BZ904" s="28"/>
      <c r="CA904" s="28"/>
      <c r="CB904" s="28"/>
      <c r="CC904" s="28"/>
      <c r="CD904" s="28"/>
      <c r="CE904" s="28"/>
      <c r="CF904" s="28"/>
      <c r="CG904" s="28"/>
    </row>
    <row r="905" spans="1:85" ht="12.75" x14ac:dyDescent="0.2">
      <c r="A905" s="28"/>
      <c r="B905" s="28"/>
      <c r="C905" s="28"/>
      <c r="D905" s="28"/>
      <c r="E905" s="28"/>
      <c r="F905" s="28"/>
      <c r="G905" s="28"/>
      <c r="H905" s="28"/>
      <c r="I905" s="28"/>
      <c r="J905" s="28"/>
      <c r="K905" s="36"/>
      <c r="L905" s="28"/>
      <c r="M905" s="28"/>
      <c r="N905" s="28"/>
      <c r="O905" s="28"/>
      <c r="P905" s="28"/>
      <c r="Q905" s="36"/>
      <c r="R905" s="36"/>
      <c r="S905" s="36"/>
      <c r="T905" s="36"/>
      <c r="U905" s="36"/>
      <c r="V905" s="36"/>
      <c r="W905" s="36"/>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c r="BE905" s="28"/>
      <c r="BF905" s="28"/>
      <c r="BG905" s="28"/>
      <c r="BH905" s="28"/>
      <c r="BI905" s="28"/>
      <c r="BJ905" s="28"/>
      <c r="BK905" s="28"/>
      <c r="BL905" s="28"/>
      <c r="BM905" s="28"/>
      <c r="BN905" s="28"/>
      <c r="BO905" s="28"/>
      <c r="BP905" s="28"/>
      <c r="BQ905" s="28"/>
      <c r="BR905" s="28"/>
      <c r="BS905" s="28"/>
      <c r="BT905" s="28"/>
      <c r="BU905" s="28"/>
      <c r="BV905" s="28"/>
      <c r="BW905" s="28"/>
      <c r="BX905" s="28"/>
      <c r="BY905" s="28"/>
      <c r="BZ905" s="28"/>
      <c r="CA905" s="28"/>
      <c r="CB905" s="28"/>
      <c r="CC905" s="28"/>
      <c r="CD905" s="28"/>
      <c r="CE905" s="28"/>
      <c r="CF905" s="28"/>
      <c r="CG905" s="28"/>
    </row>
    <row r="906" spans="1:85" ht="12.75" x14ac:dyDescent="0.2">
      <c r="A906" s="28"/>
      <c r="B906" s="28"/>
      <c r="C906" s="28"/>
      <c r="D906" s="28"/>
      <c r="E906" s="28"/>
      <c r="F906" s="28"/>
      <c r="G906" s="28"/>
      <c r="H906" s="28"/>
      <c r="I906" s="28"/>
      <c r="J906" s="28"/>
      <c r="K906" s="36"/>
      <c r="L906" s="28"/>
      <c r="M906" s="28"/>
      <c r="N906" s="28"/>
      <c r="O906" s="28"/>
      <c r="P906" s="28"/>
      <c r="Q906" s="36"/>
      <c r="R906" s="36"/>
      <c r="S906" s="36"/>
      <c r="T906" s="36"/>
      <c r="U906" s="36"/>
      <c r="V906" s="36"/>
      <c r="W906" s="36"/>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c r="BW906" s="28"/>
      <c r="BX906" s="28"/>
      <c r="BY906" s="28"/>
      <c r="BZ906" s="28"/>
      <c r="CA906" s="28"/>
      <c r="CB906" s="28"/>
      <c r="CC906" s="28"/>
      <c r="CD906" s="28"/>
      <c r="CE906" s="28"/>
      <c r="CF906" s="28"/>
      <c r="CG906" s="28"/>
    </row>
    <row r="907" spans="1:85" ht="12.75" x14ac:dyDescent="0.2">
      <c r="A907" s="28"/>
      <c r="B907" s="28"/>
      <c r="C907" s="28"/>
      <c r="D907" s="28"/>
      <c r="E907" s="28"/>
      <c r="F907" s="28"/>
      <c r="G907" s="28"/>
      <c r="H907" s="28"/>
      <c r="I907" s="28"/>
      <c r="J907" s="28"/>
      <c r="K907" s="36"/>
      <c r="L907" s="28"/>
      <c r="M907" s="28"/>
      <c r="N907" s="28"/>
      <c r="O907" s="28"/>
      <c r="P907" s="28"/>
      <c r="Q907" s="36"/>
      <c r="R907" s="36"/>
      <c r="S907" s="36"/>
      <c r="T907" s="36"/>
      <c r="U907" s="36"/>
      <c r="V907" s="36"/>
      <c r="W907" s="36"/>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c r="BE907" s="28"/>
      <c r="BF907" s="28"/>
      <c r="BG907" s="28"/>
      <c r="BH907" s="28"/>
      <c r="BI907" s="28"/>
      <c r="BJ907" s="28"/>
      <c r="BK907" s="28"/>
      <c r="BL907" s="28"/>
      <c r="BM907" s="28"/>
      <c r="BN907" s="28"/>
      <c r="BO907" s="28"/>
      <c r="BP907" s="28"/>
      <c r="BQ907" s="28"/>
      <c r="BR907" s="28"/>
      <c r="BS907" s="28"/>
      <c r="BT907" s="28"/>
      <c r="BU907" s="28"/>
      <c r="BV907" s="28"/>
      <c r="BW907" s="28"/>
      <c r="BX907" s="28"/>
      <c r="BY907" s="28"/>
      <c r="BZ907" s="28"/>
      <c r="CA907" s="28"/>
      <c r="CB907" s="28"/>
      <c r="CC907" s="28"/>
      <c r="CD907" s="28"/>
      <c r="CE907" s="28"/>
      <c r="CF907" s="28"/>
      <c r="CG907" s="28"/>
    </row>
    <row r="908" spans="1:85" ht="12.75" x14ac:dyDescent="0.2">
      <c r="A908" s="28"/>
      <c r="B908" s="28"/>
      <c r="C908" s="28"/>
      <c r="D908" s="28"/>
      <c r="E908" s="28"/>
      <c r="F908" s="28"/>
      <c r="G908" s="28"/>
      <c r="H908" s="28"/>
      <c r="I908" s="28"/>
      <c r="J908" s="28"/>
      <c r="K908" s="36"/>
      <c r="L908" s="28"/>
      <c r="M908" s="28"/>
      <c r="N908" s="28"/>
      <c r="O908" s="28"/>
      <c r="P908" s="28"/>
      <c r="Q908" s="36"/>
      <c r="R908" s="36"/>
      <c r="S908" s="36"/>
      <c r="T908" s="36"/>
      <c r="U908" s="36"/>
      <c r="V908" s="36"/>
      <c r="W908" s="36"/>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c r="BW908" s="28"/>
      <c r="BX908" s="28"/>
      <c r="BY908" s="28"/>
      <c r="BZ908" s="28"/>
      <c r="CA908" s="28"/>
      <c r="CB908" s="28"/>
      <c r="CC908" s="28"/>
      <c r="CD908" s="28"/>
      <c r="CE908" s="28"/>
      <c r="CF908" s="28"/>
      <c r="CG908" s="28"/>
    </row>
    <row r="909" spans="1:85" ht="12.75" x14ac:dyDescent="0.2">
      <c r="A909" s="28"/>
      <c r="B909" s="28"/>
      <c r="C909" s="28"/>
      <c r="D909" s="28"/>
      <c r="E909" s="28"/>
      <c r="F909" s="28"/>
      <c r="G909" s="28"/>
      <c r="H909" s="28"/>
      <c r="I909" s="28"/>
      <c r="J909" s="28"/>
      <c r="K909" s="36"/>
      <c r="L909" s="28"/>
      <c r="M909" s="28"/>
      <c r="N909" s="28"/>
      <c r="O909" s="28"/>
      <c r="P909" s="28"/>
      <c r="Q909" s="36"/>
      <c r="R909" s="36"/>
      <c r="S909" s="36"/>
      <c r="T909" s="36"/>
      <c r="U909" s="36"/>
      <c r="V909" s="36"/>
      <c r="W909" s="36"/>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c r="BE909" s="28"/>
      <c r="BF909" s="28"/>
      <c r="BG909" s="28"/>
      <c r="BH909" s="28"/>
      <c r="BI909" s="28"/>
      <c r="BJ909" s="28"/>
      <c r="BK909" s="28"/>
      <c r="BL909" s="28"/>
      <c r="BM909" s="28"/>
      <c r="BN909" s="28"/>
      <c r="BO909" s="28"/>
      <c r="BP909" s="28"/>
      <c r="BQ909" s="28"/>
      <c r="BR909" s="28"/>
      <c r="BS909" s="28"/>
      <c r="BT909" s="28"/>
      <c r="BU909" s="28"/>
      <c r="BV909" s="28"/>
      <c r="BW909" s="28"/>
      <c r="BX909" s="28"/>
      <c r="BY909" s="28"/>
      <c r="BZ909" s="28"/>
      <c r="CA909" s="28"/>
      <c r="CB909" s="28"/>
      <c r="CC909" s="28"/>
      <c r="CD909" s="28"/>
      <c r="CE909" s="28"/>
      <c r="CF909" s="28"/>
      <c r="CG909" s="28"/>
    </row>
    <row r="910" spans="1:85" ht="12.75" x14ac:dyDescent="0.2">
      <c r="A910" s="28"/>
      <c r="B910" s="28"/>
      <c r="C910" s="28"/>
      <c r="D910" s="28"/>
      <c r="E910" s="28"/>
      <c r="F910" s="28"/>
      <c r="G910" s="28"/>
      <c r="H910" s="28"/>
      <c r="I910" s="28"/>
      <c r="J910" s="28"/>
      <c r="K910" s="36"/>
      <c r="L910" s="28"/>
      <c r="M910" s="28"/>
      <c r="N910" s="28"/>
      <c r="O910" s="28"/>
      <c r="P910" s="28"/>
      <c r="Q910" s="36"/>
      <c r="R910" s="36"/>
      <c r="S910" s="36"/>
      <c r="T910" s="36"/>
      <c r="U910" s="36"/>
      <c r="V910" s="36"/>
      <c r="W910" s="36"/>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c r="BW910" s="28"/>
      <c r="BX910" s="28"/>
      <c r="BY910" s="28"/>
      <c r="BZ910" s="28"/>
      <c r="CA910" s="28"/>
      <c r="CB910" s="28"/>
      <c r="CC910" s="28"/>
      <c r="CD910" s="28"/>
      <c r="CE910" s="28"/>
      <c r="CF910" s="28"/>
      <c r="CG910" s="28"/>
    </row>
    <row r="911" spans="1:85" ht="12.75" x14ac:dyDescent="0.2">
      <c r="A911" s="28"/>
      <c r="B911" s="28"/>
      <c r="C911" s="28"/>
      <c r="D911" s="28"/>
      <c r="E911" s="28"/>
      <c r="F911" s="28"/>
      <c r="G911" s="28"/>
      <c r="H911" s="28"/>
      <c r="I911" s="28"/>
      <c r="J911" s="28"/>
      <c r="K911" s="36"/>
      <c r="L911" s="28"/>
      <c r="M911" s="28"/>
      <c r="N911" s="28"/>
      <c r="O911" s="28"/>
      <c r="P911" s="28"/>
      <c r="Q911" s="36"/>
      <c r="R911" s="36"/>
      <c r="S911" s="36"/>
      <c r="T911" s="36"/>
      <c r="U911" s="36"/>
      <c r="V911" s="36"/>
      <c r="W911" s="36"/>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c r="BE911" s="28"/>
      <c r="BF911" s="28"/>
      <c r="BG911" s="28"/>
      <c r="BH911" s="28"/>
      <c r="BI911" s="28"/>
      <c r="BJ911" s="28"/>
      <c r="BK911" s="28"/>
      <c r="BL911" s="28"/>
      <c r="BM911" s="28"/>
      <c r="BN911" s="28"/>
      <c r="BO911" s="28"/>
      <c r="BP911" s="28"/>
      <c r="BQ911" s="28"/>
      <c r="BR911" s="28"/>
      <c r="BS911" s="28"/>
      <c r="BT911" s="28"/>
      <c r="BU911" s="28"/>
      <c r="BV911" s="28"/>
      <c r="BW911" s="28"/>
      <c r="BX911" s="28"/>
      <c r="BY911" s="28"/>
      <c r="BZ911" s="28"/>
      <c r="CA911" s="28"/>
      <c r="CB911" s="28"/>
      <c r="CC911" s="28"/>
      <c r="CD911" s="28"/>
      <c r="CE911" s="28"/>
      <c r="CF911" s="28"/>
      <c r="CG911" s="28"/>
    </row>
    <row r="912" spans="1:85" ht="12.75" x14ac:dyDescent="0.2">
      <c r="A912" s="28"/>
      <c r="B912" s="28"/>
      <c r="C912" s="28"/>
      <c r="D912" s="28"/>
      <c r="E912" s="28"/>
      <c r="F912" s="28"/>
      <c r="G912" s="28"/>
      <c r="H912" s="28"/>
      <c r="I912" s="28"/>
      <c r="J912" s="28"/>
      <c r="K912" s="36"/>
      <c r="L912" s="28"/>
      <c r="M912" s="28"/>
      <c r="N912" s="28"/>
      <c r="O912" s="28"/>
      <c r="P912" s="28"/>
      <c r="Q912" s="36"/>
      <c r="R912" s="36"/>
      <c r="S912" s="36"/>
      <c r="T912" s="36"/>
      <c r="U912" s="36"/>
      <c r="V912" s="36"/>
      <c r="W912" s="36"/>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c r="BW912" s="28"/>
      <c r="BX912" s="28"/>
      <c r="BY912" s="28"/>
      <c r="BZ912" s="28"/>
      <c r="CA912" s="28"/>
      <c r="CB912" s="28"/>
      <c r="CC912" s="28"/>
      <c r="CD912" s="28"/>
      <c r="CE912" s="28"/>
      <c r="CF912" s="28"/>
      <c r="CG912" s="28"/>
    </row>
    <row r="913" spans="1:85" ht="12.75" x14ac:dyDescent="0.2">
      <c r="A913" s="28"/>
      <c r="B913" s="28"/>
      <c r="C913" s="28"/>
      <c r="D913" s="28"/>
      <c r="E913" s="28"/>
      <c r="F913" s="28"/>
      <c r="G913" s="28"/>
      <c r="H913" s="28"/>
      <c r="I913" s="28"/>
      <c r="J913" s="28"/>
      <c r="K913" s="36"/>
      <c r="L913" s="28"/>
      <c r="M913" s="28"/>
      <c r="N913" s="28"/>
      <c r="O913" s="28"/>
      <c r="P913" s="28"/>
      <c r="Q913" s="36"/>
      <c r="R913" s="36"/>
      <c r="S913" s="36"/>
      <c r="T913" s="36"/>
      <c r="U913" s="36"/>
      <c r="V913" s="36"/>
      <c r="W913" s="36"/>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c r="BE913" s="28"/>
      <c r="BF913" s="28"/>
      <c r="BG913" s="28"/>
      <c r="BH913" s="28"/>
      <c r="BI913" s="28"/>
      <c r="BJ913" s="28"/>
      <c r="BK913" s="28"/>
      <c r="BL913" s="28"/>
      <c r="BM913" s="28"/>
      <c r="BN913" s="28"/>
      <c r="BO913" s="28"/>
      <c r="BP913" s="28"/>
      <c r="BQ913" s="28"/>
      <c r="BR913" s="28"/>
      <c r="BS913" s="28"/>
      <c r="BT913" s="28"/>
      <c r="BU913" s="28"/>
      <c r="BV913" s="28"/>
      <c r="BW913" s="28"/>
      <c r="BX913" s="28"/>
      <c r="BY913" s="28"/>
      <c r="BZ913" s="28"/>
      <c r="CA913" s="28"/>
      <c r="CB913" s="28"/>
      <c r="CC913" s="28"/>
      <c r="CD913" s="28"/>
      <c r="CE913" s="28"/>
      <c r="CF913" s="28"/>
      <c r="CG913" s="28"/>
    </row>
    <row r="914" spans="1:85" ht="12.75" x14ac:dyDescent="0.2">
      <c r="A914" s="28"/>
      <c r="B914" s="28"/>
      <c r="C914" s="28"/>
      <c r="D914" s="28"/>
      <c r="E914" s="28"/>
      <c r="F914" s="28"/>
      <c r="G914" s="28"/>
      <c r="H914" s="28"/>
      <c r="I914" s="28"/>
      <c r="J914" s="28"/>
      <c r="K914" s="36"/>
      <c r="L914" s="28"/>
      <c r="M914" s="28"/>
      <c r="N914" s="28"/>
      <c r="O914" s="28"/>
      <c r="P914" s="28"/>
      <c r="Q914" s="36"/>
      <c r="R914" s="36"/>
      <c r="S914" s="36"/>
      <c r="T914" s="36"/>
      <c r="U914" s="36"/>
      <c r="V914" s="36"/>
      <c r="W914" s="36"/>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c r="BW914" s="28"/>
      <c r="BX914" s="28"/>
      <c r="BY914" s="28"/>
      <c r="BZ914" s="28"/>
      <c r="CA914" s="28"/>
      <c r="CB914" s="28"/>
      <c r="CC914" s="28"/>
      <c r="CD914" s="28"/>
      <c r="CE914" s="28"/>
      <c r="CF914" s="28"/>
      <c r="CG914" s="28"/>
    </row>
    <row r="915" spans="1:85" ht="12.75" x14ac:dyDescent="0.2">
      <c r="A915" s="28"/>
      <c r="B915" s="28"/>
      <c r="C915" s="28"/>
      <c r="D915" s="28"/>
      <c r="E915" s="28"/>
      <c r="F915" s="28"/>
      <c r="G915" s="28"/>
      <c r="H915" s="28"/>
      <c r="I915" s="28"/>
      <c r="J915" s="28"/>
      <c r="K915" s="36"/>
      <c r="L915" s="28"/>
      <c r="M915" s="28"/>
      <c r="N915" s="28"/>
      <c r="O915" s="28"/>
      <c r="P915" s="28"/>
      <c r="Q915" s="36"/>
      <c r="R915" s="36"/>
      <c r="S915" s="36"/>
      <c r="T915" s="36"/>
      <c r="U915" s="36"/>
      <c r="V915" s="36"/>
      <c r="W915" s="36"/>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c r="BE915" s="28"/>
      <c r="BF915" s="28"/>
      <c r="BG915" s="28"/>
      <c r="BH915" s="28"/>
      <c r="BI915" s="28"/>
      <c r="BJ915" s="28"/>
      <c r="BK915" s="28"/>
      <c r="BL915" s="28"/>
      <c r="BM915" s="28"/>
      <c r="BN915" s="28"/>
      <c r="BO915" s="28"/>
      <c r="BP915" s="28"/>
      <c r="BQ915" s="28"/>
      <c r="BR915" s="28"/>
      <c r="BS915" s="28"/>
      <c r="BT915" s="28"/>
      <c r="BU915" s="28"/>
      <c r="BV915" s="28"/>
      <c r="BW915" s="28"/>
      <c r="BX915" s="28"/>
      <c r="BY915" s="28"/>
      <c r="BZ915" s="28"/>
      <c r="CA915" s="28"/>
      <c r="CB915" s="28"/>
      <c r="CC915" s="28"/>
      <c r="CD915" s="28"/>
      <c r="CE915" s="28"/>
      <c r="CF915" s="28"/>
      <c r="CG915" s="28"/>
    </row>
    <row r="916" spans="1:85" ht="12.75" x14ac:dyDescent="0.2">
      <c r="A916" s="28"/>
      <c r="B916" s="28"/>
      <c r="C916" s="28"/>
      <c r="D916" s="28"/>
      <c r="E916" s="28"/>
      <c r="F916" s="28"/>
      <c r="G916" s="28"/>
      <c r="H916" s="28"/>
      <c r="I916" s="28"/>
      <c r="J916" s="28"/>
      <c r="K916" s="36"/>
      <c r="L916" s="28"/>
      <c r="M916" s="28"/>
      <c r="N916" s="28"/>
      <c r="O916" s="28"/>
      <c r="P916" s="28"/>
      <c r="Q916" s="36"/>
      <c r="R916" s="36"/>
      <c r="S916" s="36"/>
      <c r="T916" s="36"/>
      <c r="U916" s="36"/>
      <c r="V916" s="36"/>
      <c r="W916" s="36"/>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c r="BW916" s="28"/>
      <c r="BX916" s="28"/>
      <c r="BY916" s="28"/>
      <c r="BZ916" s="28"/>
      <c r="CA916" s="28"/>
      <c r="CB916" s="28"/>
      <c r="CC916" s="28"/>
      <c r="CD916" s="28"/>
      <c r="CE916" s="28"/>
      <c r="CF916" s="28"/>
      <c r="CG916" s="28"/>
    </row>
    <row r="917" spans="1:85" ht="12.75" x14ac:dyDescent="0.2">
      <c r="A917" s="28"/>
      <c r="B917" s="28"/>
      <c r="C917" s="28"/>
      <c r="D917" s="28"/>
      <c r="E917" s="28"/>
      <c r="F917" s="28"/>
      <c r="G917" s="28"/>
      <c r="H917" s="28"/>
      <c r="I917" s="28"/>
      <c r="J917" s="28"/>
      <c r="K917" s="36"/>
      <c r="L917" s="28"/>
      <c r="M917" s="28"/>
      <c r="N917" s="28"/>
      <c r="O917" s="28"/>
      <c r="P917" s="28"/>
      <c r="Q917" s="36"/>
      <c r="R917" s="36"/>
      <c r="S917" s="36"/>
      <c r="T917" s="36"/>
      <c r="U917" s="36"/>
      <c r="V917" s="36"/>
      <c r="W917" s="36"/>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c r="BE917" s="28"/>
      <c r="BF917" s="28"/>
      <c r="BG917" s="28"/>
      <c r="BH917" s="28"/>
      <c r="BI917" s="28"/>
      <c r="BJ917" s="28"/>
      <c r="BK917" s="28"/>
      <c r="BL917" s="28"/>
      <c r="BM917" s="28"/>
      <c r="BN917" s="28"/>
      <c r="BO917" s="28"/>
      <c r="BP917" s="28"/>
      <c r="BQ917" s="28"/>
      <c r="BR917" s="28"/>
      <c r="BS917" s="28"/>
      <c r="BT917" s="28"/>
      <c r="BU917" s="28"/>
      <c r="BV917" s="28"/>
      <c r="BW917" s="28"/>
      <c r="BX917" s="28"/>
      <c r="BY917" s="28"/>
      <c r="BZ917" s="28"/>
      <c r="CA917" s="28"/>
      <c r="CB917" s="28"/>
      <c r="CC917" s="28"/>
      <c r="CD917" s="28"/>
      <c r="CE917" s="28"/>
      <c r="CF917" s="28"/>
      <c r="CG917" s="28"/>
    </row>
    <row r="918" spans="1:85" ht="12.75" x14ac:dyDescent="0.2">
      <c r="A918" s="28"/>
      <c r="B918" s="28"/>
      <c r="C918" s="28"/>
      <c r="D918" s="28"/>
      <c r="E918" s="28"/>
      <c r="F918" s="28"/>
      <c r="G918" s="28"/>
      <c r="H918" s="28"/>
      <c r="I918" s="28"/>
      <c r="J918" s="28"/>
      <c r="K918" s="36"/>
      <c r="L918" s="28"/>
      <c r="M918" s="28"/>
      <c r="N918" s="28"/>
      <c r="O918" s="28"/>
      <c r="P918" s="28"/>
      <c r="Q918" s="36"/>
      <c r="R918" s="36"/>
      <c r="S918" s="36"/>
      <c r="T918" s="36"/>
      <c r="U918" s="36"/>
      <c r="V918" s="36"/>
      <c r="W918" s="36"/>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c r="BW918" s="28"/>
      <c r="BX918" s="28"/>
      <c r="BY918" s="28"/>
      <c r="BZ918" s="28"/>
      <c r="CA918" s="28"/>
      <c r="CB918" s="28"/>
      <c r="CC918" s="28"/>
      <c r="CD918" s="28"/>
      <c r="CE918" s="28"/>
      <c r="CF918" s="28"/>
      <c r="CG918" s="28"/>
    </row>
    <row r="919" spans="1:85" ht="12.75" x14ac:dyDescent="0.2">
      <c r="A919" s="28"/>
      <c r="B919" s="28"/>
      <c r="C919" s="28"/>
      <c r="D919" s="28"/>
      <c r="E919" s="28"/>
      <c r="F919" s="28"/>
      <c r="G919" s="28"/>
      <c r="H919" s="28"/>
      <c r="I919" s="28"/>
      <c r="J919" s="28"/>
      <c r="K919" s="36"/>
      <c r="L919" s="28"/>
      <c r="M919" s="28"/>
      <c r="N919" s="28"/>
      <c r="O919" s="28"/>
      <c r="P919" s="28"/>
      <c r="Q919" s="36"/>
      <c r="R919" s="36"/>
      <c r="S919" s="36"/>
      <c r="T919" s="36"/>
      <c r="U919" s="36"/>
      <c r="V919" s="36"/>
      <c r="W919" s="36"/>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c r="BE919" s="28"/>
      <c r="BF919" s="28"/>
      <c r="BG919" s="28"/>
      <c r="BH919" s="28"/>
      <c r="BI919" s="28"/>
      <c r="BJ919" s="28"/>
      <c r="BK919" s="28"/>
      <c r="BL919" s="28"/>
      <c r="BM919" s="28"/>
      <c r="BN919" s="28"/>
      <c r="BO919" s="28"/>
      <c r="BP919" s="28"/>
      <c r="BQ919" s="28"/>
      <c r="BR919" s="28"/>
      <c r="BS919" s="28"/>
      <c r="BT919" s="28"/>
      <c r="BU919" s="28"/>
      <c r="BV919" s="28"/>
      <c r="BW919" s="28"/>
      <c r="BX919" s="28"/>
      <c r="BY919" s="28"/>
      <c r="BZ919" s="28"/>
      <c r="CA919" s="28"/>
      <c r="CB919" s="28"/>
      <c r="CC919" s="28"/>
      <c r="CD919" s="28"/>
      <c r="CE919" s="28"/>
      <c r="CF919" s="28"/>
      <c r="CG919" s="28"/>
    </row>
    <row r="920" spans="1:85" ht="12.75" x14ac:dyDescent="0.2">
      <c r="A920" s="28"/>
      <c r="B920" s="28"/>
      <c r="C920" s="28"/>
      <c r="D920" s="28"/>
      <c r="E920" s="28"/>
      <c r="F920" s="28"/>
      <c r="G920" s="28"/>
      <c r="H920" s="28"/>
      <c r="I920" s="28"/>
      <c r="J920" s="28"/>
      <c r="K920" s="36"/>
      <c r="L920" s="28"/>
      <c r="M920" s="28"/>
      <c r="N920" s="28"/>
      <c r="O920" s="28"/>
      <c r="P920" s="28"/>
      <c r="Q920" s="36"/>
      <c r="R920" s="36"/>
      <c r="S920" s="36"/>
      <c r="T920" s="36"/>
      <c r="U920" s="36"/>
      <c r="V920" s="36"/>
      <c r="W920" s="36"/>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c r="BW920" s="28"/>
      <c r="BX920" s="28"/>
      <c r="BY920" s="28"/>
      <c r="BZ920" s="28"/>
      <c r="CA920" s="28"/>
      <c r="CB920" s="28"/>
      <c r="CC920" s="28"/>
      <c r="CD920" s="28"/>
      <c r="CE920" s="28"/>
      <c r="CF920" s="28"/>
      <c r="CG920" s="28"/>
    </row>
    <row r="921" spans="1:85" ht="12.75" x14ac:dyDescent="0.2">
      <c r="A921" s="28"/>
      <c r="B921" s="28"/>
      <c r="C921" s="28"/>
      <c r="D921" s="28"/>
      <c r="E921" s="28"/>
      <c r="F921" s="28"/>
      <c r="G921" s="28"/>
      <c r="H921" s="28"/>
      <c r="I921" s="28"/>
      <c r="J921" s="28"/>
      <c r="K921" s="36"/>
      <c r="L921" s="28"/>
      <c r="M921" s="28"/>
      <c r="N921" s="28"/>
      <c r="O921" s="28"/>
      <c r="P921" s="28"/>
      <c r="Q921" s="36"/>
      <c r="R921" s="36"/>
      <c r="S921" s="36"/>
      <c r="T921" s="36"/>
      <c r="U921" s="36"/>
      <c r="V921" s="36"/>
      <c r="W921" s="36"/>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c r="BE921" s="28"/>
      <c r="BF921" s="28"/>
      <c r="BG921" s="28"/>
      <c r="BH921" s="28"/>
      <c r="BI921" s="28"/>
      <c r="BJ921" s="28"/>
      <c r="BK921" s="28"/>
      <c r="BL921" s="28"/>
      <c r="BM921" s="28"/>
      <c r="BN921" s="28"/>
      <c r="BO921" s="28"/>
      <c r="BP921" s="28"/>
      <c r="BQ921" s="28"/>
      <c r="BR921" s="28"/>
      <c r="BS921" s="28"/>
      <c r="BT921" s="28"/>
      <c r="BU921" s="28"/>
      <c r="BV921" s="28"/>
      <c r="BW921" s="28"/>
      <c r="BX921" s="28"/>
      <c r="BY921" s="28"/>
      <c r="BZ921" s="28"/>
      <c r="CA921" s="28"/>
      <c r="CB921" s="28"/>
      <c r="CC921" s="28"/>
      <c r="CD921" s="28"/>
      <c r="CE921" s="28"/>
      <c r="CF921" s="28"/>
      <c r="CG921" s="28"/>
    </row>
    <row r="922" spans="1:85" ht="12.75" x14ac:dyDescent="0.2">
      <c r="A922" s="28"/>
      <c r="B922" s="28"/>
      <c r="C922" s="28"/>
      <c r="D922" s="28"/>
      <c r="E922" s="28"/>
      <c r="F922" s="28"/>
      <c r="G922" s="28"/>
      <c r="H922" s="28"/>
      <c r="I922" s="28"/>
      <c r="J922" s="28"/>
      <c r="K922" s="36"/>
      <c r="L922" s="28"/>
      <c r="M922" s="28"/>
      <c r="N922" s="28"/>
      <c r="O922" s="28"/>
      <c r="P922" s="28"/>
      <c r="Q922" s="36"/>
      <c r="R922" s="36"/>
      <c r="S922" s="36"/>
      <c r="T922" s="36"/>
      <c r="U922" s="36"/>
      <c r="V922" s="36"/>
      <c r="W922" s="36"/>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c r="BW922" s="28"/>
      <c r="BX922" s="28"/>
      <c r="BY922" s="28"/>
      <c r="BZ922" s="28"/>
      <c r="CA922" s="28"/>
      <c r="CB922" s="28"/>
      <c r="CC922" s="28"/>
      <c r="CD922" s="28"/>
      <c r="CE922" s="28"/>
      <c r="CF922" s="28"/>
      <c r="CG922" s="28"/>
    </row>
    <row r="923" spans="1:85" ht="12.75" x14ac:dyDescent="0.2">
      <c r="A923" s="28"/>
      <c r="B923" s="28"/>
      <c r="C923" s="28"/>
      <c r="D923" s="28"/>
      <c r="E923" s="28"/>
      <c r="F923" s="28"/>
      <c r="G923" s="28"/>
      <c r="H923" s="28"/>
      <c r="I923" s="28"/>
      <c r="J923" s="28"/>
      <c r="K923" s="36"/>
      <c r="L923" s="28"/>
      <c r="M923" s="28"/>
      <c r="N923" s="28"/>
      <c r="O923" s="28"/>
      <c r="P923" s="28"/>
      <c r="Q923" s="36"/>
      <c r="R923" s="36"/>
      <c r="S923" s="36"/>
      <c r="T923" s="36"/>
      <c r="U923" s="36"/>
      <c r="V923" s="36"/>
      <c r="W923" s="36"/>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c r="BE923" s="28"/>
      <c r="BF923" s="28"/>
      <c r="BG923" s="28"/>
      <c r="BH923" s="28"/>
      <c r="BI923" s="28"/>
      <c r="BJ923" s="28"/>
      <c r="BK923" s="28"/>
      <c r="BL923" s="28"/>
      <c r="BM923" s="28"/>
      <c r="BN923" s="28"/>
      <c r="BO923" s="28"/>
      <c r="BP923" s="28"/>
      <c r="BQ923" s="28"/>
      <c r="BR923" s="28"/>
      <c r="BS923" s="28"/>
      <c r="BT923" s="28"/>
      <c r="BU923" s="28"/>
      <c r="BV923" s="28"/>
      <c r="BW923" s="28"/>
      <c r="BX923" s="28"/>
      <c r="BY923" s="28"/>
      <c r="BZ923" s="28"/>
      <c r="CA923" s="28"/>
      <c r="CB923" s="28"/>
      <c r="CC923" s="28"/>
      <c r="CD923" s="28"/>
      <c r="CE923" s="28"/>
      <c r="CF923" s="28"/>
      <c r="CG923" s="28"/>
    </row>
    <row r="924" spans="1:85" ht="12.75" x14ac:dyDescent="0.2">
      <c r="A924" s="28"/>
      <c r="B924" s="28"/>
      <c r="C924" s="28"/>
      <c r="D924" s="28"/>
      <c r="E924" s="28"/>
      <c r="F924" s="28"/>
      <c r="G924" s="28"/>
      <c r="H924" s="28"/>
      <c r="I924" s="28"/>
      <c r="J924" s="28"/>
      <c r="K924" s="36"/>
      <c r="L924" s="28"/>
      <c r="M924" s="28"/>
      <c r="N924" s="28"/>
      <c r="O924" s="28"/>
      <c r="P924" s="28"/>
      <c r="Q924" s="36"/>
      <c r="R924" s="36"/>
      <c r="S924" s="36"/>
      <c r="T924" s="36"/>
      <c r="U924" s="36"/>
      <c r="V924" s="36"/>
      <c r="W924" s="36"/>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c r="BW924" s="28"/>
      <c r="BX924" s="28"/>
      <c r="BY924" s="28"/>
      <c r="BZ924" s="28"/>
      <c r="CA924" s="28"/>
      <c r="CB924" s="28"/>
      <c r="CC924" s="28"/>
      <c r="CD924" s="28"/>
      <c r="CE924" s="28"/>
      <c r="CF924" s="28"/>
      <c r="CG924" s="28"/>
    </row>
    <row r="925" spans="1:85" ht="12.75" x14ac:dyDescent="0.2">
      <c r="A925" s="28"/>
      <c r="B925" s="28"/>
      <c r="C925" s="28"/>
      <c r="D925" s="28"/>
      <c r="E925" s="28"/>
      <c r="F925" s="28"/>
      <c r="G925" s="28"/>
      <c r="H925" s="28"/>
      <c r="I925" s="28"/>
      <c r="J925" s="28"/>
      <c r="K925" s="36"/>
      <c r="L925" s="28"/>
      <c r="M925" s="28"/>
      <c r="N925" s="28"/>
      <c r="O925" s="28"/>
      <c r="P925" s="28"/>
      <c r="Q925" s="36"/>
      <c r="R925" s="36"/>
      <c r="S925" s="36"/>
      <c r="T925" s="36"/>
      <c r="U925" s="36"/>
      <c r="V925" s="36"/>
      <c r="W925" s="36"/>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c r="BE925" s="28"/>
      <c r="BF925" s="28"/>
      <c r="BG925" s="28"/>
      <c r="BH925" s="28"/>
      <c r="BI925" s="28"/>
      <c r="BJ925" s="28"/>
      <c r="BK925" s="28"/>
      <c r="BL925" s="28"/>
      <c r="BM925" s="28"/>
      <c r="BN925" s="28"/>
      <c r="BO925" s="28"/>
      <c r="BP925" s="28"/>
      <c r="BQ925" s="28"/>
      <c r="BR925" s="28"/>
      <c r="BS925" s="28"/>
      <c r="BT925" s="28"/>
      <c r="BU925" s="28"/>
      <c r="BV925" s="28"/>
      <c r="BW925" s="28"/>
      <c r="BX925" s="28"/>
      <c r="BY925" s="28"/>
      <c r="BZ925" s="28"/>
      <c r="CA925" s="28"/>
      <c r="CB925" s="28"/>
      <c r="CC925" s="28"/>
      <c r="CD925" s="28"/>
      <c r="CE925" s="28"/>
      <c r="CF925" s="28"/>
      <c r="CG925" s="28"/>
    </row>
    <row r="926" spans="1:85" ht="12.75" x14ac:dyDescent="0.2">
      <c r="A926" s="28"/>
      <c r="B926" s="28"/>
      <c r="C926" s="28"/>
      <c r="D926" s="28"/>
      <c r="E926" s="28"/>
      <c r="F926" s="28"/>
      <c r="G926" s="28"/>
      <c r="H926" s="28"/>
      <c r="I926" s="28"/>
      <c r="J926" s="28"/>
      <c r="K926" s="36"/>
      <c r="L926" s="28"/>
      <c r="M926" s="28"/>
      <c r="N926" s="28"/>
      <c r="O926" s="28"/>
      <c r="P926" s="28"/>
      <c r="Q926" s="36"/>
      <c r="R926" s="36"/>
      <c r="S926" s="36"/>
      <c r="T926" s="36"/>
      <c r="U926" s="36"/>
      <c r="V926" s="36"/>
      <c r="W926" s="36"/>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c r="BW926" s="28"/>
      <c r="BX926" s="28"/>
      <c r="BY926" s="28"/>
      <c r="BZ926" s="28"/>
      <c r="CA926" s="28"/>
      <c r="CB926" s="28"/>
      <c r="CC926" s="28"/>
      <c r="CD926" s="28"/>
      <c r="CE926" s="28"/>
      <c r="CF926" s="28"/>
      <c r="CG926" s="28"/>
    </row>
    <row r="927" spans="1:85" ht="12.75" x14ac:dyDescent="0.2">
      <c r="A927" s="28"/>
      <c r="B927" s="28"/>
      <c r="C927" s="28"/>
      <c r="D927" s="28"/>
      <c r="E927" s="28"/>
      <c r="F927" s="28"/>
      <c r="G927" s="28"/>
      <c r="H927" s="28"/>
      <c r="I927" s="28"/>
      <c r="J927" s="28"/>
      <c r="K927" s="36"/>
      <c r="L927" s="28"/>
      <c r="M927" s="28"/>
      <c r="N927" s="28"/>
      <c r="O927" s="28"/>
      <c r="P927" s="28"/>
      <c r="Q927" s="36"/>
      <c r="R927" s="36"/>
      <c r="S927" s="36"/>
      <c r="T927" s="36"/>
      <c r="U927" s="36"/>
      <c r="V927" s="36"/>
      <c r="W927" s="36"/>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c r="BE927" s="28"/>
      <c r="BF927" s="28"/>
      <c r="BG927" s="28"/>
      <c r="BH927" s="28"/>
      <c r="BI927" s="28"/>
      <c r="BJ927" s="28"/>
      <c r="BK927" s="28"/>
      <c r="BL927" s="28"/>
      <c r="BM927" s="28"/>
      <c r="BN927" s="28"/>
      <c r="BO927" s="28"/>
      <c r="BP927" s="28"/>
      <c r="BQ927" s="28"/>
      <c r="BR927" s="28"/>
      <c r="BS927" s="28"/>
      <c r="BT927" s="28"/>
      <c r="BU927" s="28"/>
      <c r="BV927" s="28"/>
      <c r="BW927" s="28"/>
      <c r="BX927" s="28"/>
      <c r="BY927" s="28"/>
      <c r="BZ927" s="28"/>
      <c r="CA927" s="28"/>
      <c r="CB927" s="28"/>
      <c r="CC927" s="28"/>
      <c r="CD927" s="28"/>
      <c r="CE927" s="28"/>
      <c r="CF927" s="28"/>
      <c r="CG927" s="28"/>
    </row>
    <row r="928" spans="1:85" ht="12.75" x14ac:dyDescent="0.2">
      <c r="A928" s="28"/>
      <c r="B928" s="28"/>
      <c r="C928" s="28"/>
      <c r="D928" s="28"/>
      <c r="E928" s="28"/>
      <c r="F928" s="28"/>
      <c r="G928" s="28"/>
      <c r="H928" s="28"/>
      <c r="I928" s="28"/>
      <c r="J928" s="28"/>
      <c r="K928" s="36"/>
      <c r="L928" s="28"/>
      <c r="M928" s="28"/>
      <c r="N928" s="28"/>
      <c r="O928" s="28"/>
      <c r="P928" s="28"/>
      <c r="Q928" s="36"/>
      <c r="R928" s="36"/>
      <c r="S928" s="36"/>
      <c r="T928" s="36"/>
      <c r="U928" s="36"/>
      <c r="V928" s="36"/>
      <c r="W928" s="36"/>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c r="BW928" s="28"/>
      <c r="BX928" s="28"/>
      <c r="BY928" s="28"/>
      <c r="BZ928" s="28"/>
      <c r="CA928" s="28"/>
      <c r="CB928" s="28"/>
      <c r="CC928" s="28"/>
      <c r="CD928" s="28"/>
      <c r="CE928" s="28"/>
      <c r="CF928" s="28"/>
      <c r="CG928" s="28"/>
    </row>
    <row r="929" spans="1:85" ht="12.75" x14ac:dyDescent="0.2">
      <c r="A929" s="28"/>
      <c r="B929" s="28"/>
      <c r="C929" s="28"/>
      <c r="D929" s="28"/>
      <c r="E929" s="28"/>
      <c r="F929" s="28"/>
      <c r="G929" s="28"/>
      <c r="H929" s="28"/>
      <c r="I929" s="28"/>
      <c r="J929" s="28"/>
      <c r="K929" s="36"/>
      <c r="L929" s="28"/>
      <c r="M929" s="28"/>
      <c r="N929" s="28"/>
      <c r="O929" s="28"/>
      <c r="P929" s="28"/>
      <c r="Q929" s="36"/>
      <c r="R929" s="36"/>
      <c r="S929" s="36"/>
      <c r="T929" s="36"/>
      <c r="U929" s="36"/>
      <c r="V929" s="36"/>
      <c r="W929" s="36"/>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c r="BE929" s="28"/>
      <c r="BF929" s="28"/>
      <c r="BG929" s="28"/>
      <c r="BH929" s="28"/>
      <c r="BI929" s="28"/>
      <c r="BJ929" s="28"/>
      <c r="BK929" s="28"/>
      <c r="BL929" s="28"/>
      <c r="BM929" s="28"/>
      <c r="BN929" s="28"/>
      <c r="BO929" s="28"/>
      <c r="BP929" s="28"/>
      <c r="BQ929" s="28"/>
      <c r="BR929" s="28"/>
      <c r="BS929" s="28"/>
      <c r="BT929" s="28"/>
      <c r="BU929" s="28"/>
      <c r="BV929" s="28"/>
      <c r="BW929" s="28"/>
      <c r="BX929" s="28"/>
      <c r="BY929" s="28"/>
      <c r="BZ929" s="28"/>
      <c r="CA929" s="28"/>
      <c r="CB929" s="28"/>
      <c r="CC929" s="28"/>
      <c r="CD929" s="28"/>
      <c r="CE929" s="28"/>
      <c r="CF929" s="28"/>
      <c r="CG929" s="28"/>
    </row>
    <row r="930" spans="1:85" ht="12.75" x14ac:dyDescent="0.2">
      <c r="A930" s="28"/>
      <c r="B930" s="28"/>
      <c r="C930" s="28"/>
      <c r="D930" s="28"/>
      <c r="E930" s="28"/>
      <c r="F930" s="28"/>
      <c r="G930" s="28"/>
      <c r="H930" s="28"/>
      <c r="I930" s="28"/>
      <c r="J930" s="28"/>
      <c r="K930" s="36"/>
      <c r="L930" s="28"/>
      <c r="M930" s="28"/>
      <c r="N930" s="28"/>
      <c r="O930" s="28"/>
      <c r="P930" s="28"/>
      <c r="Q930" s="36"/>
      <c r="R930" s="36"/>
      <c r="S930" s="36"/>
      <c r="T930" s="36"/>
      <c r="U930" s="36"/>
      <c r="V930" s="36"/>
      <c r="W930" s="36"/>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c r="BW930" s="28"/>
      <c r="BX930" s="28"/>
      <c r="BY930" s="28"/>
      <c r="BZ930" s="28"/>
      <c r="CA930" s="28"/>
      <c r="CB930" s="28"/>
      <c r="CC930" s="28"/>
      <c r="CD930" s="28"/>
      <c r="CE930" s="28"/>
      <c r="CF930" s="28"/>
      <c r="CG930" s="28"/>
    </row>
    <row r="931" spans="1:85" ht="12.75" x14ac:dyDescent="0.2">
      <c r="A931" s="28"/>
      <c r="B931" s="28"/>
      <c r="C931" s="28"/>
      <c r="D931" s="28"/>
      <c r="E931" s="28"/>
      <c r="F931" s="28"/>
      <c r="G931" s="28"/>
      <c r="H931" s="28"/>
      <c r="I931" s="28"/>
      <c r="J931" s="28"/>
      <c r="K931" s="36"/>
      <c r="L931" s="28"/>
      <c r="M931" s="28"/>
      <c r="N931" s="28"/>
      <c r="O931" s="28"/>
      <c r="P931" s="28"/>
      <c r="Q931" s="36"/>
      <c r="R931" s="36"/>
      <c r="S931" s="36"/>
      <c r="T931" s="36"/>
      <c r="U931" s="36"/>
      <c r="V931" s="36"/>
      <c r="W931" s="36"/>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c r="BE931" s="28"/>
      <c r="BF931" s="28"/>
      <c r="BG931" s="28"/>
      <c r="BH931" s="28"/>
      <c r="BI931" s="28"/>
      <c r="BJ931" s="28"/>
      <c r="BK931" s="28"/>
      <c r="BL931" s="28"/>
      <c r="BM931" s="28"/>
      <c r="BN931" s="28"/>
      <c r="BO931" s="28"/>
      <c r="BP931" s="28"/>
      <c r="BQ931" s="28"/>
      <c r="BR931" s="28"/>
      <c r="BS931" s="28"/>
      <c r="BT931" s="28"/>
      <c r="BU931" s="28"/>
      <c r="BV931" s="28"/>
      <c r="BW931" s="28"/>
      <c r="BX931" s="28"/>
      <c r="BY931" s="28"/>
      <c r="BZ931" s="28"/>
      <c r="CA931" s="28"/>
      <c r="CB931" s="28"/>
      <c r="CC931" s="28"/>
      <c r="CD931" s="28"/>
      <c r="CE931" s="28"/>
      <c r="CF931" s="28"/>
      <c r="CG931" s="28"/>
    </row>
    <row r="932" spans="1:85" ht="12.75" x14ac:dyDescent="0.2">
      <c r="A932" s="28"/>
      <c r="B932" s="28"/>
      <c r="C932" s="28"/>
      <c r="D932" s="28"/>
      <c r="E932" s="28"/>
      <c r="F932" s="28"/>
      <c r="G932" s="28"/>
      <c r="H932" s="28"/>
      <c r="I932" s="28"/>
      <c r="J932" s="28"/>
      <c r="K932" s="36"/>
      <c r="L932" s="28"/>
      <c r="M932" s="28"/>
      <c r="N932" s="28"/>
      <c r="O932" s="28"/>
      <c r="P932" s="28"/>
      <c r="Q932" s="36"/>
      <c r="R932" s="36"/>
      <c r="S932" s="36"/>
      <c r="T932" s="36"/>
      <c r="U932" s="36"/>
      <c r="V932" s="36"/>
      <c r="W932" s="36"/>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c r="BW932" s="28"/>
      <c r="BX932" s="28"/>
      <c r="BY932" s="28"/>
      <c r="BZ932" s="28"/>
      <c r="CA932" s="28"/>
      <c r="CB932" s="28"/>
      <c r="CC932" s="28"/>
      <c r="CD932" s="28"/>
      <c r="CE932" s="28"/>
      <c r="CF932" s="28"/>
      <c r="CG932" s="28"/>
    </row>
    <row r="933" spans="1:85" ht="12.75" x14ac:dyDescent="0.2">
      <c r="A933" s="28"/>
      <c r="B933" s="28"/>
      <c r="C933" s="28"/>
      <c r="D933" s="28"/>
      <c r="E933" s="28"/>
      <c r="F933" s="28"/>
      <c r="G933" s="28"/>
      <c r="H933" s="28"/>
      <c r="I933" s="28"/>
      <c r="J933" s="28"/>
      <c r="K933" s="36"/>
      <c r="L933" s="28"/>
      <c r="M933" s="28"/>
      <c r="N933" s="28"/>
      <c r="O933" s="28"/>
      <c r="P933" s="28"/>
      <c r="Q933" s="36"/>
      <c r="R933" s="36"/>
      <c r="S933" s="36"/>
      <c r="T933" s="36"/>
      <c r="U933" s="36"/>
      <c r="V933" s="36"/>
      <c r="W933" s="36"/>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c r="BE933" s="28"/>
      <c r="BF933" s="28"/>
      <c r="BG933" s="28"/>
      <c r="BH933" s="28"/>
      <c r="BI933" s="28"/>
      <c r="BJ933" s="28"/>
      <c r="BK933" s="28"/>
      <c r="BL933" s="28"/>
      <c r="BM933" s="28"/>
      <c r="BN933" s="28"/>
      <c r="BO933" s="28"/>
      <c r="BP933" s="28"/>
      <c r="BQ933" s="28"/>
      <c r="BR933" s="28"/>
      <c r="BS933" s="28"/>
      <c r="BT933" s="28"/>
      <c r="BU933" s="28"/>
      <c r="BV933" s="28"/>
      <c r="BW933" s="28"/>
      <c r="BX933" s="28"/>
      <c r="BY933" s="28"/>
      <c r="BZ933" s="28"/>
      <c r="CA933" s="28"/>
      <c r="CB933" s="28"/>
      <c r="CC933" s="28"/>
      <c r="CD933" s="28"/>
      <c r="CE933" s="28"/>
      <c r="CF933" s="28"/>
      <c r="CG933" s="28"/>
    </row>
    <row r="934" spans="1:85" ht="12.75" x14ac:dyDescent="0.2">
      <c r="A934" s="28"/>
      <c r="B934" s="28"/>
      <c r="C934" s="28"/>
      <c r="D934" s="28"/>
      <c r="E934" s="28"/>
      <c r="F934" s="28"/>
      <c r="G934" s="28"/>
      <c r="H934" s="28"/>
      <c r="I934" s="28"/>
      <c r="J934" s="28"/>
      <c r="K934" s="36"/>
      <c r="L934" s="28"/>
      <c r="M934" s="28"/>
      <c r="N934" s="28"/>
      <c r="O934" s="28"/>
      <c r="P934" s="28"/>
      <c r="Q934" s="36"/>
      <c r="R934" s="36"/>
      <c r="S934" s="36"/>
      <c r="T934" s="36"/>
      <c r="U934" s="36"/>
      <c r="V934" s="36"/>
      <c r="W934" s="36"/>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c r="BW934" s="28"/>
      <c r="BX934" s="28"/>
      <c r="BY934" s="28"/>
      <c r="BZ934" s="28"/>
      <c r="CA934" s="28"/>
      <c r="CB934" s="28"/>
      <c r="CC934" s="28"/>
      <c r="CD934" s="28"/>
      <c r="CE934" s="28"/>
      <c r="CF934" s="28"/>
      <c r="CG934" s="28"/>
    </row>
    <row r="935" spans="1:85" ht="12.75" x14ac:dyDescent="0.2">
      <c r="A935" s="28"/>
      <c r="B935" s="28"/>
      <c r="C935" s="28"/>
      <c r="D935" s="28"/>
      <c r="E935" s="28"/>
      <c r="F935" s="28"/>
      <c r="G935" s="28"/>
      <c r="H935" s="28"/>
      <c r="I935" s="28"/>
      <c r="J935" s="28"/>
      <c r="K935" s="36"/>
      <c r="L935" s="28"/>
      <c r="M935" s="28"/>
      <c r="N935" s="28"/>
      <c r="O935" s="28"/>
      <c r="P935" s="28"/>
      <c r="Q935" s="36"/>
      <c r="R935" s="36"/>
      <c r="S935" s="36"/>
      <c r="T935" s="36"/>
      <c r="U935" s="36"/>
      <c r="V935" s="36"/>
      <c r="W935" s="36"/>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c r="BE935" s="28"/>
      <c r="BF935" s="28"/>
      <c r="BG935" s="28"/>
      <c r="BH935" s="28"/>
      <c r="BI935" s="28"/>
      <c r="BJ935" s="28"/>
      <c r="BK935" s="28"/>
      <c r="BL935" s="28"/>
      <c r="BM935" s="28"/>
      <c r="BN935" s="28"/>
      <c r="BO935" s="28"/>
      <c r="BP935" s="28"/>
      <c r="BQ935" s="28"/>
      <c r="BR935" s="28"/>
      <c r="BS935" s="28"/>
      <c r="BT935" s="28"/>
      <c r="BU935" s="28"/>
      <c r="BV935" s="28"/>
      <c r="BW935" s="28"/>
      <c r="BX935" s="28"/>
      <c r="BY935" s="28"/>
      <c r="BZ935" s="28"/>
      <c r="CA935" s="28"/>
      <c r="CB935" s="28"/>
      <c r="CC935" s="28"/>
      <c r="CD935" s="28"/>
      <c r="CE935" s="28"/>
      <c r="CF935" s="28"/>
      <c r="CG935" s="28"/>
    </row>
    <row r="936" spans="1:85" ht="12.75" x14ac:dyDescent="0.2">
      <c r="A936" s="28"/>
      <c r="B936" s="28"/>
      <c r="C936" s="28"/>
      <c r="D936" s="28"/>
      <c r="E936" s="28"/>
      <c r="F936" s="28"/>
      <c r="G936" s="28"/>
      <c r="H936" s="28"/>
      <c r="I936" s="28"/>
      <c r="J936" s="28"/>
      <c r="K936" s="36"/>
      <c r="L936" s="28"/>
      <c r="M936" s="28"/>
      <c r="N936" s="28"/>
      <c r="O936" s="28"/>
      <c r="P936" s="28"/>
      <c r="Q936" s="36"/>
      <c r="R936" s="36"/>
      <c r="S936" s="36"/>
      <c r="T936" s="36"/>
      <c r="U936" s="36"/>
      <c r="V936" s="36"/>
      <c r="W936" s="36"/>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c r="BW936" s="28"/>
      <c r="BX936" s="28"/>
      <c r="BY936" s="28"/>
      <c r="BZ936" s="28"/>
      <c r="CA936" s="28"/>
      <c r="CB936" s="28"/>
      <c r="CC936" s="28"/>
      <c r="CD936" s="28"/>
      <c r="CE936" s="28"/>
      <c r="CF936" s="28"/>
      <c r="CG936" s="28"/>
    </row>
    <row r="937" spans="1:85" ht="12.75" x14ac:dyDescent="0.2">
      <c r="A937" s="28"/>
      <c r="B937" s="28"/>
      <c r="C937" s="28"/>
      <c r="D937" s="28"/>
      <c r="E937" s="28"/>
      <c r="F937" s="28"/>
      <c r="G937" s="28"/>
      <c r="H937" s="28"/>
      <c r="I937" s="28"/>
      <c r="J937" s="28"/>
      <c r="K937" s="36"/>
      <c r="L937" s="28"/>
      <c r="M937" s="28"/>
      <c r="N937" s="28"/>
      <c r="O937" s="28"/>
      <c r="P937" s="28"/>
      <c r="Q937" s="36"/>
      <c r="R937" s="36"/>
      <c r="S937" s="36"/>
      <c r="T937" s="36"/>
      <c r="U937" s="36"/>
      <c r="V937" s="36"/>
      <c r="W937" s="36"/>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c r="BE937" s="28"/>
      <c r="BF937" s="28"/>
      <c r="BG937" s="28"/>
      <c r="BH937" s="28"/>
      <c r="BI937" s="28"/>
      <c r="BJ937" s="28"/>
      <c r="BK937" s="28"/>
      <c r="BL937" s="28"/>
      <c r="BM937" s="28"/>
      <c r="BN937" s="28"/>
      <c r="BO937" s="28"/>
      <c r="BP937" s="28"/>
      <c r="BQ937" s="28"/>
      <c r="BR937" s="28"/>
      <c r="BS937" s="28"/>
      <c r="BT937" s="28"/>
      <c r="BU937" s="28"/>
      <c r="BV937" s="28"/>
      <c r="BW937" s="28"/>
      <c r="BX937" s="28"/>
      <c r="BY937" s="28"/>
      <c r="BZ937" s="28"/>
      <c r="CA937" s="28"/>
      <c r="CB937" s="28"/>
      <c r="CC937" s="28"/>
      <c r="CD937" s="28"/>
      <c r="CE937" s="28"/>
      <c r="CF937" s="28"/>
      <c r="CG937" s="28"/>
    </row>
    <row r="938" spans="1:85" ht="12.75" x14ac:dyDescent="0.2">
      <c r="A938" s="28"/>
      <c r="B938" s="28"/>
      <c r="C938" s="28"/>
      <c r="D938" s="28"/>
      <c r="E938" s="28"/>
      <c r="F938" s="28"/>
      <c r="G938" s="28"/>
      <c r="H938" s="28"/>
      <c r="I938" s="28"/>
      <c r="J938" s="28"/>
      <c r="K938" s="36"/>
      <c r="L938" s="28"/>
      <c r="M938" s="28"/>
      <c r="N938" s="28"/>
      <c r="O938" s="28"/>
      <c r="P938" s="28"/>
      <c r="Q938" s="36"/>
      <c r="R938" s="36"/>
      <c r="S938" s="36"/>
      <c r="T938" s="36"/>
      <c r="U938" s="36"/>
      <c r="V938" s="36"/>
      <c r="W938" s="36"/>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c r="BW938" s="28"/>
      <c r="BX938" s="28"/>
      <c r="BY938" s="28"/>
      <c r="BZ938" s="28"/>
      <c r="CA938" s="28"/>
      <c r="CB938" s="28"/>
      <c r="CC938" s="28"/>
      <c r="CD938" s="28"/>
      <c r="CE938" s="28"/>
      <c r="CF938" s="28"/>
      <c r="CG938" s="28"/>
    </row>
    <row r="939" spans="1:85" ht="12.75" x14ac:dyDescent="0.2">
      <c r="A939" s="28"/>
      <c r="B939" s="28"/>
      <c r="C939" s="28"/>
      <c r="D939" s="28"/>
      <c r="E939" s="28"/>
      <c r="F939" s="28"/>
      <c r="G939" s="28"/>
      <c r="H939" s="28"/>
      <c r="I939" s="28"/>
      <c r="J939" s="28"/>
      <c r="K939" s="36"/>
      <c r="L939" s="28"/>
      <c r="M939" s="28"/>
      <c r="N939" s="28"/>
      <c r="O939" s="28"/>
      <c r="P939" s="28"/>
      <c r="Q939" s="36"/>
      <c r="R939" s="36"/>
      <c r="S939" s="36"/>
      <c r="T939" s="36"/>
      <c r="U939" s="36"/>
      <c r="V939" s="36"/>
      <c r="W939" s="36"/>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c r="BE939" s="28"/>
      <c r="BF939" s="28"/>
      <c r="BG939" s="28"/>
      <c r="BH939" s="28"/>
      <c r="BI939" s="28"/>
      <c r="BJ939" s="28"/>
      <c r="BK939" s="28"/>
      <c r="BL939" s="28"/>
      <c r="BM939" s="28"/>
      <c r="BN939" s="28"/>
      <c r="BO939" s="28"/>
      <c r="BP939" s="28"/>
      <c r="BQ939" s="28"/>
      <c r="BR939" s="28"/>
      <c r="BS939" s="28"/>
      <c r="BT939" s="28"/>
      <c r="BU939" s="28"/>
      <c r="BV939" s="28"/>
      <c r="BW939" s="28"/>
      <c r="BX939" s="28"/>
      <c r="BY939" s="28"/>
      <c r="BZ939" s="28"/>
      <c r="CA939" s="28"/>
      <c r="CB939" s="28"/>
      <c r="CC939" s="28"/>
      <c r="CD939" s="28"/>
      <c r="CE939" s="28"/>
      <c r="CF939" s="28"/>
      <c r="CG939" s="28"/>
    </row>
    <row r="940" spans="1:85" ht="12.75" x14ac:dyDescent="0.2">
      <c r="A940" s="28"/>
      <c r="B940" s="28"/>
      <c r="C940" s="28"/>
      <c r="D940" s="28"/>
      <c r="E940" s="28"/>
      <c r="F940" s="28"/>
      <c r="G940" s="28"/>
      <c r="H940" s="28"/>
      <c r="I940" s="28"/>
      <c r="J940" s="28"/>
      <c r="K940" s="36"/>
      <c r="L940" s="28"/>
      <c r="M940" s="28"/>
      <c r="N940" s="28"/>
      <c r="O940" s="28"/>
      <c r="P940" s="28"/>
      <c r="Q940" s="36"/>
      <c r="R940" s="36"/>
      <c r="S940" s="36"/>
      <c r="T940" s="36"/>
      <c r="U940" s="36"/>
      <c r="V940" s="36"/>
      <c r="W940" s="36"/>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c r="CA940" s="28"/>
      <c r="CB940" s="28"/>
      <c r="CC940" s="28"/>
      <c r="CD940" s="28"/>
      <c r="CE940" s="28"/>
      <c r="CF940" s="28"/>
      <c r="CG940" s="28"/>
    </row>
    <row r="941" spans="1:85" ht="12.75" x14ac:dyDescent="0.2">
      <c r="A941" s="28"/>
      <c r="B941" s="28"/>
      <c r="C941" s="28"/>
      <c r="D941" s="28"/>
      <c r="E941" s="28"/>
      <c r="F941" s="28"/>
      <c r="G941" s="28"/>
      <c r="H941" s="28"/>
      <c r="I941" s="28"/>
      <c r="J941" s="28"/>
      <c r="K941" s="36"/>
      <c r="L941" s="28"/>
      <c r="M941" s="28"/>
      <c r="N941" s="28"/>
      <c r="O941" s="28"/>
      <c r="P941" s="28"/>
      <c r="Q941" s="36"/>
      <c r="R941" s="36"/>
      <c r="S941" s="36"/>
      <c r="T941" s="36"/>
      <c r="U941" s="36"/>
      <c r="V941" s="36"/>
      <c r="W941" s="36"/>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c r="BE941" s="28"/>
      <c r="BF941" s="28"/>
      <c r="BG941" s="28"/>
      <c r="BH941" s="28"/>
      <c r="BI941" s="28"/>
      <c r="BJ941" s="28"/>
      <c r="BK941" s="28"/>
      <c r="BL941" s="28"/>
      <c r="BM941" s="28"/>
      <c r="BN941" s="28"/>
      <c r="BO941" s="28"/>
      <c r="BP941" s="28"/>
      <c r="BQ941" s="28"/>
      <c r="BR941" s="28"/>
      <c r="BS941" s="28"/>
      <c r="BT941" s="28"/>
      <c r="BU941" s="28"/>
      <c r="BV941" s="28"/>
      <c r="BW941" s="28"/>
      <c r="BX941" s="28"/>
      <c r="BY941" s="28"/>
      <c r="BZ941" s="28"/>
      <c r="CA941" s="28"/>
      <c r="CB941" s="28"/>
      <c r="CC941" s="28"/>
      <c r="CD941" s="28"/>
      <c r="CE941" s="28"/>
      <c r="CF941" s="28"/>
      <c r="CG941" s="28"/>
    </row>
    <row r="942" spans="1:85" ht="12.75" x14ac:dyDescent="0.2">
      <c r="A942" s="28"/>
      <c r="B942" s="28"/>
      <c r="C942" s="28"/>
      <c r="D942" s="28"/>
      <c r="E942" s="28"/>
      <c r="F942" s="28"/>
      <c r="G942" s="28"/>
      <c r="H942" s="28"/>
      <c r="I942" s="28"/>
      <c r="J942" s="28"/>
      <c r="K942" s="36"/>
      <c r="L942" s="28"/>
      <c r="M942" s="28"/>
      <c r="N942" s="28"/>
      <c r="O942" s="28"/>
      <c r="P942" s="28"/>
      <c r="Q942" s="36"/>
      <c r="R942" s="36"/>
      <c r="S942" s="36"/>
      <c r="T942" s="36"/>
      <c r="U942" s="36"/>
      <c r="V942" s="36"/>
      <c r="W942" s="36"/>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c r="BW942" s="28"/>
      <c r="BX942" s="28"/>
      <c r="BY942" s="28"/>
      <c r="BZ942" s="28"/>
      <c r="CA942" s="28"/>
      <c r="CB942" s="28"/>
      <c r="CC942" s="28"/>
      <c r="CD942" s="28"/>
      <c r="CE942" s="28"/>
      <c r="CF942" s="28"/>
      <c r="CG942" s="28"/>
    </row>
    <row r="943" spans="1:85" ht="12.75" x14ac:dyDescent="0.2">
      <c r="A943" s="28"/>
      <c r="B943" s="28"/>
      <c r="C943" s="28"/>
      <c r="D943" s="28"/>
      <c r="E943" s="28"/>
      <c r="F943" s="28"/>
      <c r="G943" s="28"/>
      <c r="H943" s="28"/>
      <c r="I943" s="28"/>
      <c r="J943" s="28"/>
      <c r="K943" s="36"/>
      <c r="L943" s="28"/>
      <c r="M943" s="28"/>
      <c r="N943" s="28"/>
      <c r="O943" s="28"/>
      <c r="P943" s="28"/>
      <c r="Q943" s="36"/>
      <c r="R943" s="36"/>
      <c r="S943" s="36"/>
      <c r="T943" s="36"/>
      <c r="U943" s="36"/>
      <c r="V943" s="36"/>
      <c r="W943" s="36"/>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c r="BE943" s="28"/>
      <c r="BF943" s="28"/>
      <c r="BG943" s="28"/>
      <c r="BH943" s="28"/>
      <c r="BI943" s="28"/>
      <c r="BJ943" s="28"/>
      <c r="BK943" s="28"/>
      <c r="BL943" s="28"/>
      <c r="BM943" s="28"/>
      <c r="BN943" s="28"/>
      <c r="BO943" s="28"/>
      <c r="BP943" s="28"/>
      <c r="BQ943" s="28"/>
      <c r="BR943" s="28"/>
      <c r="BS943" s="28"/>
      <c r="BT943" s="28"/>
      <c r="BU943" s="28"/>
      <c r="BV943" s="28"/>
      <c r="BW943" s="28"/>
      <c r="BX943" s="28"/>
      <c r="BY943" s="28"/>
      <c r="BZ943" s="28"/>
      <c r="CA943" s="28"/>
      <c r="CB943" s="28"/>
      <c r="CC943" s="28"/>
      <c r="CD943" s="28"/>
      <c r="CE943" s="28"/>
      <c r="CF943" s="28"/>
      <c r="CG943" s="28"/>
    </row>
    <row r="944" spans="1:85" ht="12.75" x14ac:dyDescent="0.2">
      <c r="A944" s="28"/>
      <c r="B944" s="28"/>
      <c r="C944" s="28"/>
      <c r="D944" s="28"/>
      <c r="E944" s="28"/>
      <c r="F944" s="28"/>
      <c r="G944" s="28"/>
      <c r="H944" s="28"/>
      <c r="I944" s="28"/>
      <c r="J944" s="28"/>
      <c r="K944" s="36"/>
      <c r="L944" s="28"/>
      <c r="M944" s="28"/>
      <c r="N944" s="28"/>
      <c r="O944" s="28"/>
      <c r="P944" s="28"/>
      <c r="Q944" s="36"/>
      <c r="R944" s="36"/>
      <c r="S944" s="36"/>
      <c r="T944" s="36"/>
      <c r="U944" s="36"/>
      <c r="V944" s="36"/>
      <c r="W944" s="36"/>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c r="BW944" s="28"/>
      <c r="BX944" s="28"/>
      <c r="BY944" s="28"/>
      <c r="BZ944" s="28"/>
      <c r="CA944" s="28"/>
      <c r="CB944" s="28"/>
      <c r="CC944" s="28"/>
      <c r="CD944" s="28"/>
      <c r="CE944" s="28"/>
      <c r="CF944" s="28"/>
      <c r="CG944" s="28"/>
    </row>
    <row r="945" spans="1:85" ht="12.75" x14ac:dyDescent="0.2">
      <c r="A945" s="28"/>
      <c r="B945" s="28"/>
      <c r="C945" s="28"/>
      <c r="D945" s="28"/>
      <c r="E945" s="28"/>
      <c r="F945" s="28"/>
      <c r="G945" s="28"/>
      <c r="H945" s="28"/>
      <c r="I945" s="28"/>
      <c r="J945" s="28"/>
      <c r="K945" s="36"/>
      <c r="L945" s="28"/>
      <c r="M945" s="28"/>
      <c r="N945" s="28"/>
      <c r="O945" s="28"/>
      <c r="P945" s="28"/>
      <c r="Q945" s="36"/>
      <c r="R945" s="36"/>
      <c r="S945" s="36"/>
      <c r="T945" s="36"/>
      <c r="U945" s="36"/>
      <c r="V945" s="36"/>
      <c r="W945" s="36"/>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c r="BE945" s="28"/>
      <c r="BF945" s="28"/>
      <c r="BG945" s="28"/>
      <c r="BH945" s="28"/>
      <c r="BI945" s="28"/>
      <c r="BJ945" s="28"/>
      <c r="BK945" s="28"/>
      <c r="BL945" s="28"/>
      <c r="BM945" s="28"/>
      <c r="BN945" s="28"/>
      <c r="BO945" s="28"/>
      <c r="BP945" s="28"/>
      <c r="BQ945" s="28"/>
      <c r="BR945" s="28"/>
      <c r="BS945" s="28"/>
      <c r="BT945" s="28"/>
      <c r="BU945" s="28"/>
      <c r="BV945" s="28"/>
      <c r="BW945" s="28"/>
      <c r="BX945" s="28"/>
      <c r="BY945" s="28"/>
      <c r="BZ945" s="28"/>
      <c r="CA945" s="28"/>
      <c r="CB945" s="28"/>
      <c r="CC945" s="28"/>
      <c r="CD945" s="28"/>
      <c r="CE945" s="28"/>
      <c r="CF945" s="28"/>
      <c r="CG945" s="28"/>
    </row>
    <row r="946" spans="1:85" ht="12.75" x14ac:dyDescent="0.2">
      <c r="A946" s="28"/>
      <c r="B946" s="28"/>
      <c r="C946" s="28"/>
      <c r="D946" s="28"/>
      <c r="E946" s="28"/>
      <c r="F946" s="28"/>
      <c r="G946" s="28"/>
      <c r="H946" s="28"/>
      <c r="I946" s="28"/>
      <c r="J946" s="28"/>
      <c r="K946" s="36"/>
      <c r="L946" s="28"/>
      <c r="M946" s="28"/>
      <c r="N946" s="28"/>
      <c r="O946" s="28"/>
      <c r="P946" s="28"/>
      <c r="Q946" s="36"/>
      <c r="R946" s="36"/>
      <c r="S946" s="36"/>
      <c r="T946" s="36"/>
      <c r="U946" s="36"/>
      <c r="V946" s="36"/>
      <c r="W946" s="36"/>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c r="BW946" s="28"/>
      <c r="BX946" s="28"/>
      <c r="BY946" s="28"/>
      <c r="BZ946" s="28"/>
      <c r="CA946" s="28"/>
      <c r="CB946" s="28"/>
      <c r="CC946" s="28"/>
      <c r="CD946" s="28"/>
      <c r="CE946" s="28"/>
      <c r="CF946" s="28"/>
      <c r="CG946" s="28"/>
    </row>
    <row r="947" spans="1:85" ht="12.75" x14ac:dyDescent="0.2">
      <c r="A947" s="28"/>
      <c r="B947" s="28"/>
      <c r="C947" s="28"/>
      <c r="D947" s="28"/>
      <c r="E947" s="28"/>
      <c r="F947" s="28"/>
      <c r="G947" s="28"/>
      <c r="H947" s="28"/>
      <c r="I947" s="28"/>
      <c r="J947" s="28"/>
      <c r="K947" s="36"/>
      <c r="L947" s="28"/>
      <c r="M947" s="28"/>
      <c r="N947" s="28"/>
      <c r="O947" s="28"/>
      <c r="P947" s="28"/>
      <c r="Q947" s="36"/>
      <c r="R947" s="36"/>
      <c r="S947" s="36"/>
      <c r="T947" s="36"/>
      <c r="U947" s="36"/>
      <c r="V947" s="36"/>
      <c r="W947" s="36"/>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c r="BE947" s="28"/>
      <c r="BF947" s="28"/>
      <c r="BG947" s="28"/>
      <c r="BH947" s="28"/>
      <c r="BI947" s="28"/>
      <c r="BJ947" s="28"/>
      <c r="BK947" s="28"/>
      <c r="BL947" s="28"/>
      <c r="BM947" s="28"/>
      <c r="BN947" s="28"/>
      <c r="BO947" s="28"/>
      <c r="BP947" s="28"/>
      <c r="BQ947" s="28"/>
      <c r="BR947" s="28"/>
      <c r="BS947" s="28"/>
      <c r="BT947" s="28"/>
      <c r="BU947" s="28"/>
      <c r="BV947" s="28"/>
      <c r="BW947" s="28"/>
      <c r="BX947" s="28"/>
      <c r="BY947" s="28"/>
      <c r="BZ947" s="28"/>
      <c r="CA947" s="28"/>
      <c r="CB947" s="28"/>
      <c r="CC947" s="28"/>
      <c r="CD947" s="28"/>
      <c r="CE947" s="28"/>
      <c r="CF947" s="28"/>
      <c r="CG947" s="28"/>
    </row>
    <row r="948" spans="1:85" ht="12.75" x14ac:dyDescent="0.2">
      <c r="A948" s="28"/>
      <c r="B948" s="28"/>
      <c r="C948" s="28"/>
      <c r="D948" s="28"/>
      <c r="E948" s="28"/>
      <c r="F948" s="28"/>
      <c r="G948" s="28"/>
      <c r="H948" s="28"/>
      <c r="I948" s="28"/>
      <c r="J948" s="28"/>
      <c r="K948" s="36"/>
      <c r="L948" s="28"/>
      <c r="M948" s="28"/>
      <c r="N948" s="28"/>
      <c r="O948" s="28"/>
      <c r="P948" s="28"/>
      <c r="Q948" s="36"/>
      <c r="R948" s="36"/>
      <c r="S948" s="36"/>
      <c r="T948" s="36"/>
      <c r="U948" s="36"/>
      <c r="V948" s="36"/>
      <c r="W948" s="36"/>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c r="BW948" s="28"/>
      <c r="BX948" s="28"/>
      <c r="BY948" s="28"/>
      <c r="BZ948" s="28"/>
      <c r="CA948" s="28"/>
      <c r="CB948" s="28"/>
      <c r="CC948" s="28"/>
      <c r="CD948" s="28"/>
      <c r="CE948" s="28"/>
      <c r="CF948" s="28"/>
      <c r="CG948" s="28"/>
    </row>
    <row r="949" spans="1:85" ht="12.75" x14ac:dyDescent="0.2">
      <c r="A949" s="28"/>
      <c r="B949" s="28"/>
      <c r="C949" s="28"/>
      <c r="D949" s="28"/>
      <c r="E949" s="28"/>
      <c r="F949" s="28"/>
      <c r="G949" s="28"/>
      <c r="H949" s="28"/>
      <c r="I949" s="28"/>
      <c r="J949" s="28"/>
      <c r="K949" s="36"/>
      <c r="L949" s="28"/>
      <c r="M949" s="28"/>
      <c r="N949" s="28"/>
      <c r="O949" s="28"/>
      <c r="P949" s="28"/>
      <c r="Q949" s="36"/>
      <c r="R949" s="36"/>
      <c r="S949" s="36"/>
      <c r="T949" s="36"/>
      <c r="U949" s="36"/>
      <c r="V949" s="36"/>
      <c r="W949" s="36"/>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c r="BE949" s="28"/>
      <c r="BF949" s="28"/>
      <c r="BG949" s="28"/>
      <c r="BH949" s="28"/>
      <c r="BI949" s="28"/>
      <c r="BJ949" s="28"/>
      <c r="BK949" s="28"/>
      <c r="BL949" s="28"/>
      <c r="BM949" s="28"/>
      <c r="BN949" s="28"/>
      <c r="BO949" s="28"/>
      <c r="BP949" s="28"/>
      <c r="BQ949" s="28"/>
      <c r="BR949" s="28"/>
      <c r="BS949" s="28"/>
      <c r="BT949" s="28"/>
      <c r="BU949" s="28"/>
      <c r="BV949" s="28"/>
      <c r="BW949" s="28"/>
      <c r="BX949" s="28"/>
      <c r="BY949" s="28"/>
      <c r="BZ949" s="28"/>
      <c r="CA949" s="28"/>
      <c r="CB949" s="28"/>
      <c r="CC949" s="28"/>
      <c r="CD949" s="28"/>
      <c r="CE949" s="28"/>
      <c r="CF949" s="28"/>
      <c r="CG949" s="28"/>
    </row>
    <row r="950" spans="1:85" ht="12.75" x14ac:dyDescent="0.2">
      <c r="A950" s="28"/>
      <c r="B950" s="28"/>
      <c r="C950" s="28"/>
      <c r="D950" s="28"/>
      <c r="E950" s="28"/>
      <c r="F950" s="28"/>
      <c r="G950" s="28"/>
      <c r="H950" s="28"/>
      <c r="I950" s="28"/>
      <c r="J950" s="28"/>
      <c r="K950" s="36"/>
      <c r="L950" s="28"/>
      <c r="M950" s="28"/>
      <c r="N950" s="28"/>
      <c r="O950" s="28"/>
      <c r="P950" s="28"/>
      <c r="Q950" s="36"/>
      <c r="R950" s="36"/>
      <c r="S950" s="36"/>
      <c r="T950" s="36"/>
      <c r="U950" s="36"/>
      <c r="V950" s="36"/>
      <c r="W950" s="36"/>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c r="CA950" s="28"/>
      <c r="CB950" s="28"/>
      <c r="CC950" s="28"/>
      <c r="CD950" s="28"/>
      <c r="CE950" s="28"/>
      <c r="CF950" s="28"/>
      <c r="CG950" s="28"/>
    </row>
    <row r="951" spans="1:85" ht="12.75" x14ac:dyDescent="0.2">
      <c r="A951" s="28"/>
      <c r="B951" s="28"/>
      <c r="C951" s="28"/>
      <c r="D951" s="28"/>
      <c r="E951" s="28"/>
      <c r="F951" s="28"/>
      <c r="G951" s="28"/>
      <c r="H951" s="28"/>
      <c r="I951" s="28"/>
      <c r="J951" s="28"/>
      <c r="K951" s="36"/>
      <c r="L951" s="28"/>
      <c r="M951" s="28"/>
      <c r="N951" s="28"/>
      <c r="O951" s="28"/>
      <c r="P951" s="28"/>
      <c r="Q951" s="36"/>
      <c r="R951" s="36"/>
      <c r="S951" s="36"/>
      <c r="T951" s="36"/>
      <c r="U951" s="36"/>
      <c r="V951" s="36"/>
      <c r="W951" s="36"/>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c r="BE951" s="28"/>
      <c r="BF951" s="28"/>
      <c r="BG951" s="28"/>
      <c r="BH951" s="28"/>
      <c r="BI951" s="28"/>
      <c r="BJ951" s="28"/>
      <c r="BK951" s="28"/>
      <c r="BL951" s="28"/>
      <c r="BM951" s="28"/>
      <c r="BN951" s="28"/>
      <c r="BO951" s="28"/>
      <c r="BP951" s="28"/>
      <c r="BQ951" s="28"/>
      <c r="BR951" s="28"/>
      <c r="BS951" s="28"/>
      <c r="BT951" s="28"/>
      <c r="BU951" s="28"/>
      <c r="BV951" s="28"/>
      <c r="BW951" s="28"/>
      <c r="BX951" s="28"/>
      <c r="BY951" s="28"/>
      <c r="BZ951" s="28"/>
      <c r="CA951" s="28"/>
      <c r="CB951" s="28"/>
      <c r="CC951" s="28"/>
      <c r="CD951" s="28"/>
      <c r="CE951" s="28"/>
      <c r="CF951" s="28"/>
      <c r="CG951" s="28"/>
    </row>
    <row r="952" spans="1:85" ht="12.75" x14ac:dyDescent="0.2">
      <c r="A952" s="28"/>
      <c r="B952" s="28"/>
      <c r="C952" s="28"/>
      <c r="D952" s="28"/>
      <c r="E952" s="28"/>
      <c r="F952" s="28"/>
      <c r="G952" s="28"/>
      <c r="H952" s="28"/>
      <c r="I952" s="28"/>
      <c r="J952" s="28"/>
      <c r="K952" s="36"/>
      <c r="L952" s="28"/>
      <c r="M952" s="28"/>
      <c r="N952" s="28"/>
      <c r="O952" s="28"/>
      <c r="P952" s="28"/>
      <c r="Q952" s="36"/>
      <c r="R952" s="36"/>
      <c r="S952" s="36"/>
      <c r="T952" s="36"/>
      <c r="U952" s="36"/>
      <c r="V952" s="36"/>
      <c r="W952" s="36"/>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c r="BW952" s="28"/>
      <c r="BX952" s="28"/>
      <c r="BY952" s="28"/>
      <c r="BZ952" s="28"/>
      <c r="CA952" s="28"/>
      <c r="CB952" s="28"/>
      <c r="CC952" s="28"/>
      <c r="CD952" s="28"/>
      <c r="CE952" s="28"/>
      <c r="CF952" s="28"/>
      <c r="CG952" s="28"/>
    </row>
    <row r="953" spans="1:85" ht="12.75" x14ac:dyDescent="0.2">
      <c r="A953" s="28"/>
      <c r="B953" s="28"/>
      <c r="C953" s="28"/>
      <c r="D953" s="28"/>
      <c r="E953" s="28"/>
      <c r="F953" s="28"/>
      <c r="G953" s="28"/>
      <c r="H953" s="28"/>
      <c r="I953" s="28"/>
      <c r="J953" s="28"/>
      <c r="K953" s="36"/>
      <c r="L953" s="28"/>
      <c r="M953" s="28"/>
      <c r="N953" s="28"/>
      <c r="O953" s="28"/>
      <c r="P953" s="28"/>
      <c r="Q953" s="36"/>
      <c r="R953" s="36"/>
      <c r="S953" s="36"/>
      <c r="T953" s="36"/>
      <c r="U953" s="36"/>
      <c r="V953" s="36"/>
      <c r="W953" s="36"/>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c r="BE953" s="28"/>
      <c r="BF953" s="28"/>
      <c r="BG953" s="28"/>
      <c r="BH953" s="28"/>
      <c r="BI953" s="28"/>
      <c r="BJ953" s="28"/>
      <c r="BK953" s="28"/>
      <c r="BL953" s="28"/>
      <c r="BM953" s="28"/>
      <c r="BN953" s="28"/>
      <c r="BO953" s="28"/>
      <c r="BP953" s="28"/>
      <c r="BQ953" s="28"/>
      <c r="BR953" s="28"/>
      <c r="BS953" s="28"/>
      <c r="BT953" s="28"/>
      <c r="BU953" s="28"/>
      <c r="BV953" s="28"/>
      <c r="BW953" s="28"/>
      <c r="BX953" s="28"/>
      <c r="BY953" s="28"/>
      <c r="BZ953" s="28"/>
      <c r="CA953" s="28"/>
      <c r="CB953" s="28"/>
      <c r="CC953" s="28"/>
      <c r="CD953" s="28"/>
      <c r="CE953" s="28"/>
      <c r="CF953" s="28"/>
      <c r="CG953" s="28"/>
    </row>
    <row r="954" spans="1:85" ht="12.75" x14ac:dyDescent="0.2">
      <c r="A954" s="28"/>
      <c r="B954" s="28"/>
      <c r="C954" s="28"/>
      <c r="D954" s="28"/>
      <c r="E954" s="28"/>
      <c r="F954" s="28"/>
      <c r="G954" s="28"/>
      <c r="H954" s="28"/>
      <c r="I954" s="28"/>
      <c r="J954" s="28"/>
      <c r="K954" s="36"/>
      <c r="L954" s="28"/>
      <c r="M954" s="28"/>
      <c r="N954" s="28"/>
      <c r="O954" s="28"/>
      <c r="P954" s="28"/>
      <c r="Q954" s="36"/>
      <c r="R954" s="36"/>
      <c r="S954" s="36"/>
      <c r="T954" s="36"/>
      <c r="U954" s="36"/>
      <c r="V954" s="36"/>
      <c r="W954" s="36"/>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c r="BW954" s="28"/>
      <c r="BX954" s="28"/>
      <c r="BY954" s="28"/>
      <c r="BZ954" s="28"/>
      <c r="CA954" s="28"/>
      <c r="CB954" s="28"/>
      <c r="CC954" s="28"/>
      <c r="CD954" s="28"/>
      <c r="CE954" s="28"/>
      <c r="CF954" s="28"/>
      <c r="CG954" s="28"/>
    </row>
    <row r="955" spans="1:85" ht="12.75" x14ac:dyDescent="0.2">
      <c r="A955" s="28"/>
      <c r="B955" s="28"/>
      <c r="C955" s="28"/>
      <c r="D955" s="28"/>
      <c r="E955" s="28"/>
      <c r="F955" s="28"/>
      <c r="G955" s="28"/>
      <c r="H955" s="28"/>
      <c r="I955" s="28"/>
      <c r="J955" s="28"/>
      <c r="K955" s="36"/>
      <c r="L955" s="28"/>
      <c r="M955" s="28"/>
      <c r="N955" s="28"/>
      <c r="O955" s="28"/>
      <c r="P955" s="28"/>
      <c r="Q955" s="36"/>
      <c r="R955" s="36"/>
      <c r="S955" s="36"/>
      <c r="T955" s="36"/>
      <c r="U955" s="36"/>
      <c r="V955" s="36"/>
      <c r="W955" s="36"/>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c r="BE955" s="28"/>
      <c r="BF955" s="28"/>
      <c r="BG955" s="28"/>
      <c r="BH955" s="28"/>
      <c r="BI955" s="28"/>
      <c r="BJ955" s="28"/>
      <c r="BK955" s="28"/>
      <c r="BL955" s="28"/>
      <c r="BM955" s="28"/>
      <c r="BN955" s="28"/>
      <c r="BO955" s="28"/>
      <c r="BP955" s="28"/>
      <c r="BQ955" s="28"/>
      <c r="BR955" s="28"/>
      <c r="BS955" s="28"/>
      <c r="BT955" s="28"/>
      <c r="BU955" s="28"/>
      <c r="BV955" s="28"/>
      <c r="BW955" s="28"/>
      <c r="BX955" s="28"/>
      <c r="BY955" s="28"/>
      <c r="BZ955" s="28"/>
      <c r="CA955" s="28"/>
      <c r="CB955" s="28"/>
      <c r="CC955" s="28"/>
      <c r="CD955" s="28"/>
      <c r="CE955" s="28"/>
      <c r="CF955" s="28"/>
      <c r="CG955" s="28"/>
    </row>
    <row r="956" spans="1:85" ht="12.75" x14ac:dyDescent="0.2">
      <c r="A956" s="28"/>
      <c r="B956" s="28"/>
      <c r="C956" s="28"/>
      <c r="D956" s="28"/>
      <c r="E956" s="28"/>
      <c r="F956" s="28"/>
      <c r="G956" s="28"/>
      <c r="H956" s="28"/>
      <c r="I956" s="28"/>
      <c r="J956" s="28"/>
      <c r="K956" s="36"/>
      <c r="L956" s="28"/>
      <c r="M956" s="28"/>
      <c r="N956" s="28"/>
      <c r="O956" s="28"/>
      <c r="P956" s="28"/>
      <c r="Q956" s="36"/>
      <c r="R956" s="36"/>
      <c r="S956" s="36"/>
      <c r="T956" s="36"/>
      <c r="U956" s="36"/>
      <c r="V956" s="36"/>
      <c r="W956" s="36"/>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c r="BW956" s="28"/>
      <c r="BX956" s="28"/>
      <c r="BY956" s="28"/>
      <c r="BZ956" s="28"/>
      <c r="CA956" s="28"/>
      <c r="CB956" s="28"/>
      <c r="CC956" s="28"/>
      <c r="CD956" s="28"/>
      <c r="CE956" s="28"/>
      <c r="CF956" s="28"/>
      <c r="CG956" s="28"/>
    </row>
    <row r="957" spans="1:85" ht="12.75" x14ac:dyDescent="0.2">
      <c r="A957" s="28"/>
      <c r="B957" s="28"/>
      <c r="C957" s="28"/>
      <c r="D957" s="28"/>
      <c r="E957" s="28"/>
      <c r="F957" s="28"/>
      <c r="G957" s="28"/>
      <c r="H957" s="28"/>
      <c r="I957" s="28"/>
      <c r="J957" s="28"/>
      <c r="K957" s="36"/>
      <c r="L957" s="28"/>
      <c r="M957" s="28"/>
      <c r="N957" s="28"/>
      <c r="O957" s="28"/>
      <c r="P957" s="28"/>
      <c r="Q957" s="36"/>
      <c r="R957" s="36"/>
      <c r="S957" s="36"/>
      <c r="T957" s="36"/>
      <c r="U957" s="36"/>
      <c r="V957" s="36"/>
      <c r="W957" s="36"/>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c r="BE957" s="28"/>
      <c r="BF957" s="28"/>
      <c r="BG957" s="28"/>
      <c r="BH957" s="28"/>
      <c r="BI957" s="28"/>
      <c r="BJ957" s="28"/>
      <c r="BK957" s="28"/>
      <c r="BL957" s="28"/>
      <c r="BM957" s="28"/>
      <c r="BN957" s="28"/>
      <c r="BO957" s="28"/>
      <c r="BP957" s="28"/>
      <c r="BQ957" s="28"/>
      <c r="BR957" s="28"/>
      <c r="BS957" s="28"/>
      <c r="BT957" s="28"/>
      <c r="BU957" s="28"/>
      <c r="BV957" s="28"/>
      <c r="BW957" s="28"/>
      <c r="BX957" s="28"/>
      <c r="BY957" s="28"/>
      <c r="BZ957" s="28"/>
      <c r="CA957" s="28"/>
      <c r="CB957" s="28"/>
      <c r="CC957" s="28"/>
      <c r="CD957" s="28"/>
      <c r="CE957" s="28"/>
      <c r="CF957" s="28"/>
      <c r="CG957" s="28"/>
    </row>
    <row r="958" spans="1:85" ht="12.75" x14ac:dyDescent="0.2">
      <c r="A958" s="28"/>
      <c r="B958" s="28"/>
      <c r="C958" s="28"/>
      <c r="D958" s="28"/>
      <c r="E958" s="28"/>
      <c r="F958" s="28"/>
      <c r="G958" s="28"/>
      <c r="H958" s="28"/>
      <c r="I958" s="28"/>
      <c r="J958" s="28"/>
      <c r="K958" s="36"/>
      <c r="L958" s="28"/>
      <c r="M958" s="28"/>
      <c r="N958" s="28"/>
      <c r="O958" s="28"/>
      <c r="P958" s="28"/>
      <c r="Q958" s="36"/>
      <c r="R958" s="36"/>
      <c r="S958" s="36"/>
      <c r="T958" s="36"/>
      <c r="U958" s="36"/>
      <c r="V958" s="36"/>
      <c r="W958" s="36"/>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c r="BW958" s="28"/>
      <c r="BX958" s="28"/>
      <c r="BY958" s="28"/>
      <c r="BZ958" s="28"/>
      <c r="CA958" s="28"/>
      <c r="CB958" s="28"/>
      <c r="CC958" s="28"/>
      <c r="CD958" s="28"/>
      <c r="CE958" s="28"/>
      <c r="CF958" s="28"/>
      <c r="CG958" s="28"/>
    </row>
    <row r="959" spans="1:85" ht="12.75" x14ac:dyDescent="0.2">
      <c r="A959" s="28"/>
      <c r="B959" s="28"/>
      <c r="C959" s="28"/>
      <c r="D959" s="28"/>
      <c r="E959" s="28"/>
      <c r="F959" s="28"/>
      <c r="G959" s="28"/>
      <c r="H959" s="28"/>
      <c r="I959" s="28"/>
      <c r="J959" s="28"/>
      <c r="K959" s="36"/>
      <c r="L959" s="28"/>
      <c r="M959" s="28"/>
      <c r="N959" s="28"/>
      <c r="O959" s="28"/>
      <c r="P959" s="28"/>
      <c r="Q959" s="36"/>
      <c r="R959" s="36"/>
      <c r="S959" s="36"/>
      <c r="T959" s="36"/>
      <c r="U959" s="36"/>
      <c r="V959" s="36"/>
      <c r="W959" s="36"/>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c r="BE959" s="28"/>
      <c r="BF959" s="28"/>
      <c r="BG959" s="28"/>
      <c r="BH959" s="28"/>
      <c r="BI959" s="28"/>
      <c r="BJ959" s="28"/>
      <c r="BK959" s="28"/>
      <c r="BL959" s="28"/>
      <c r="BM959" s="28"/>
      <c r="BN959" s="28"/>
      <c r="BO959" s="28"/>
      <c r="BP959" s="28"/>
      <c r="BQ959" s="28"/>
      <c r="BR959" s="28"/>
      <c r="BS959" s="28"/>
      <c r="BT959" s="28"/>
      <c r="BU959" s="28"/>
      <c r="BV959" s="28"/>
      <c r="BW959" s="28"/>
      <c r="BX959" s="28"/>
      <c r="BY959" s="28"/>
      <c r="BZ959" s="28"/>
      <c r="CA959" s="28"/>
      <c r="CB959" s="28"/>
      <c r="CC959" s="28"/>
      <c r="CD959" s="28"/>
      <c r="CE959" s="28"/>
      <c r="CF959" s="28"/>
      <c r="CG959" s="28"/>
    </row>
    <row r="960" spans="1:85" ht="12.75" x14ac:dyDescent="0.2">
      <c r="A960" s="28"/>
      <c r="B960" s="28"/>
      <c r="C960" s="28"/>
      <c r="D960" s="28"/>
      <c r="E960" s="28"/>
      <c r="F960" s="28"/>
      <c r="G960" s="28"/>
      <c r="H960" s="28"/>
      <c r="I960" s="28"/>
      <c r="J960" s="28"/>
      <c r="K960" s="36"/>
      <c r="L960" s="28"/>
      <c r="M960" s="28"/>
      <c r="N960" s="28"/>
      <c r="O960" s="28"/>
      <c r="P960" s="28"/>
      <c r="Q960" s="36"/>
      <c r="R960" s="36"/>
      <c r="S960" s="36"/>
      <c r="T960" s="36"/>
      <c r="U960" s="36"/>
      <c r="V960" s="36"/>
      <c r="W960" s="36"/>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c r="BW960" s="28"/>
      <c r="BX960" s="28"/>
      <c r="BY960" s="28"/>
      <c r="BZ960" s="28"/>
      <c r="CA960" s="28"/>
      <c r="CB960" s="28"/>
      <c r="CC960" s="28"/>
      <c r="CD960" s="28"/>
      <c r="CE960" s="28"/>
      <c r="CF960" s="28"/>
      <c r="CG960" s="28"/>
    </row>
    <row r="961" spans="1:85" ht="12.75" x14ac:dyDescent="0.2">
      <c r="A961" s="28"/>
      <c r="B961" s="28"/>
      <c r="C961" s="28"/>
      <c r="D961" s="28"/>
      <c r="E961" s="28"/>
      <c r="F961" s="28"/>
      <c r="G961" s="28"/>
      <c r="H961" s="28"/>
      <c r="I961" s="28"/>
      <c r="J961" s="28"/>
      <c r="K961" s="36"/>
      <c r="L961" s="28"/>
      <c r="M961" s="28"/>
      <c r="N961" s="28"/>
      <c r="O961" s="28"/>
      <c r="P961" s="28"/>
      <c r="Q961" s="36"/>
      <c r="R961" s="36"/>
      <c r="S961" s="36"/>
      <c r="T961" s="36"/>
      <c r="U961" s="36"/>
      <c r="V961" s="36"/>
      <c r="W961" s="36"/>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c r="BE961" s="28"/>
      <c r="BF961" s="28"/>
      <c r="BG961" s="28"/>
      <c r="BH961" s="28"/>
      <c r="BI961" s="28"/>
      <c r="BJ961" s="28"/>
      <c r="BK961" s="28"/>
      <c r="BL961" s="28"/>
      <c r="BM961" s="28"/>
      <c r="BN961" s="28"/>
      <c r="BO961" s="28"/>
      <c r="BP961" s="28"/>
      <c r="BQ961" s="28"/>
      <c r="BR961" s="28"/>
      <c r="BS961" s="28"/>
      <c r="BT961" s="28"/>
      <c r="BU961" s="28"/>
      <c r="BV961" s="28"/>
      <c r="BW961" s="28"/>
      <c r="BX961" s="28"/>
      <c r="BY961" s="28"/>
      <c r="BZ961" s="28"/>
      <c r="CA961" s="28"/>
      <c r="CB961" s="28"/>
      <c r="CC961" s="28"/>
      <c r="CD961" s="28"/>
      <c r="CE961" s="28"/>
      <c r="CF961" s="28"/>
      <c r="CG961" s="28"/>
    </row>
    <row r="962" spans="1:85" ht="12.75" x14ac:dyDescent="0.2">
      <c r="A962" s="28"/>
      <c r="B962" s="28"/>
      <c r="C962" s="28"/>
      <c r="D962" s="28"/>
      <c r="E962" s="28"/>
      <c r="F962" s="28"/>
      <c r="G962" s="28"/>
      <c r="H962" s="28"/>
      <c r="I962" s="28"/>
      <c r="J962" s="28"/>
      <c r="K962" s="36"/>
      <c r="L962" s="28"/>
      <c r="M962" s="28"/>
      <c r="N962" s="28"/>
      <c r="O962" s="28"/>
      <c r="P962" s="28"/>
      <c r="Q962" s="36"/>
      <c r="R962" s="36"/>
      <c r="S962" s="36"/>
      <c r="T962" s="36"/>
      <c r="U962" s="36"/>
      <c r="V962" s="36"/>
      <c r="W962" s="36"/>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c r="BW962" s="28"/>
      <c r="BX962" s="28"/>
      <c r="BY962" s="28"/>
      <c r="BZ962" s="28"/>
      <c r="CA962" s="28"/>
      <c r="CB962" s="28"/>
      <c r="CC962" s="28"/>
      <c r="CD962" s="28"/>
      <c r="CE962" s="28"/>
      <c r="CF962" s="28"/>
      <c r="CG962" s="28"/>
    </row>
    <row r="963" spans="1:85" ht="12.75" x14ac:dyDescent="0.2">
      <c r="A963" s="28"/>
      <c r="B963" s="28"/>
      <c r="C963" s="28"/>
      <c r="D963" s="28"/>
      <c r="E963" s="28"/>
      <c r="F963" s="28"/>
      <c r="G963" s="28"/>
      <c r="H963" s="28"/>
      <c r="I963" s="28"/>
      <c r="J963" s="28"/>
      <c r="K963" s="36"/>
      <c r="L963" s="28"/>
      <c r="M963" s="28"/>
      <c r="N963" s="28"/>
      <c r="O963" s="28"/>
      <c r="P963" s="28"/>
      <c r="Q963" s="36"/>
      <c r="R963" s="36"/>
      <c r="S963" s="36"/>
      <c r="T963" s="36"/>
      <c r="U963" s="36"/>
      <c r="V963" s="36"/>
      <c r="W963" s="36"/>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c r="BE963" s="28"/>
      <c r="BF963" s="28"/>
      <c r="BG963" s="28"/>
      <c r="BH963" s="28"/>
      <c r="BI963" s="28"/>
      <c r="BJ963" s="28"/>
      <c r="BK963" s="28"/>
      <c r="BL963" s="28"/>
      <c r="BM963" s="28"/>
      <c r="BN963" s="28"/>
      <c r="BO963" s="28"/>
      <c r="BP963" s="28"/>
      <c r="BQ963" s="28"/>
      <c r="BR963" s="28"/>
      <c r="BS963" s="28"/>
      <c r="BT963" s="28"/>
      <c r="BU963" s="28"/>
      <c r="BV963" s="28"/>
      <c r="BW963" s="28"/>
      <c r="BX963" s="28"/>
      <c r="BY963" s="28"/>
      <c r="BZ963" s="28"/>
      <c r="CA963" s="28"/>
      <c r="CB963" s="28"/>
      <c r="CC963" s="28"/>
      <c r="CD963" s="28"/>
      <c r="CE963" s="28"/>
      <c r="CF963" s="28"/>
      <c r="CG963" s="28"/>
    </row>
    <row r="964" spans="1:85" ht="12.75" x14ac:dyDescent="0.2">
      <c r="A964" s="28"/>
      <c r="B964" s="28"/>
      <c r="C964" s="28"/>
      <c r="D964" s="28"/>
      <c r="E964" s="28"/>
      <c r="F964" s="28"/>
      <c r="G964" s="28"/>
      <c r="H964" s="28"/>
      <c r="I964" s="28"/>
      <c r="J964" s="28"/>
      <c r="K964" s="36"/>
      <c r="L964" s="28"/>
      <c r="M964" s="28"/>
      <c r="N964" s="28"/>
      <c r="O964" s="28"/>
      <c r="P964" s="28"/>
      <c r="Q964" s="36"/>
      <c r="R964" s="36"/>
      <c r="S964" s="36"/>
      <c r="T964" s="36"/>
      <c r="U964" s="36"/>
      <c r="V964" s="36"/>
      <c r="W964" s="36"/>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c r="BW964" s="28"/>
      <c r="BX964" s="28"/>
      <c r="BY964" s="28"/>
      <c r="BZ964" s="28"/>
      <c r="CA964" s="28"/>
      <c r="CB964" s="28"/>
      <c r="CC964" s="28"/>
      <c r="CD964" s="28"/>
      <c r="CE964" s="28"/>
      <c r="CF964" s="28"/>
      <c r="CG964" s="28"/>
    </row>
    <row r="965" spans="1:85" ht="12.75" x14ac:dyDescent="0.2">
      <c r="A965" s="28"/>
      <c r="B965" s="28"/>
      <c r="C965" s="28"/>
      <c r="D965" s="28"/>
      <c r="E965" s="28"/>
      <c r="F965" s="28"/>
      <c r="G965" s="28"/>
      <c r="H965" s="28"/>
      <c r="I965" s="28"/>
      <c r="J965" s="28"/>
      <c r="K965" s="36"/>
      <c r="L965" s="28"/>
      <c r="M965" s="28"/>
      <c r="N965" s="28"/>
      <c r="O965" s="28"/>
      <c r="P965" s="28"/>
      <c r="Q965" s="36"/>
      <c r="R965" s="36"/>
      <c r="S965" s="36"/>
      <c r="T965" s="36"/>
      <c r="U965" s="36"/>
      <c r="V965" s="36"/>
      <c r="W965" s="36"/>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c r="BE965" s="28"/>
      <c r="BF965" s="28"/>
      <c r="BG965" s="28"/>
      <c r="BH965" s="28"/>
      <c r="BI965" s="28"/>
      <c r="BJ965" s="28"/>
      <c r="BK965" s="28"/>
      <c r="BL965" s="28"/>
      <c r="BM965" s="28"/>
      <c r="BN965" s="28"/>
      <c r="BO965" s="28"/>
      <c r="BP965" s="28"/>
      <c r="BQ965" s="28"/>
      <c r="BR965" s="28"/>
      <c r="BS965" s="28"/>
      <c r="BT965" s="28"/>
      <c r="BU965" s="28"/>
      <c r="BV965" s="28"/>
      <c r="BW965" s="28"/>
      <c r="BX965" s="28"/>
      <c r="BY965" s="28"/>
      <c r="BZ965" s="28"/>
      <c r="CA965" s="28"/>
      <c r="CB965" s="28"/>
      <c r="CC965" s="28"/>
      <c r="CD965" s="28"/>
      <c r="CE965" s="28"/>
      <c r="CF965" s="28"/>
      <c r="CG965" s="28"/>
    </row>
    <row r="966" spans="1:85" ht="12.75" x14ac:dyDescent="0.2">
      <c r="A966" s="28"/>
      <c r="B966" s="28"/>
      <c r="C966" s="28"/>
      <c r="D966" s="28"/>
      <c r="E966" s="28"/>
      <c r="F966" s="28"/>
      <c r="G966" s="28"/>
      <c r="H966" s="28"/>
      <c r="I966" s="28"/>
      <c r="J966" s="28"/>
      <c r="K966" s="36"/>
      <c r="L966" s="28"/>
      <c r="M966" s="28"/>
      <c r="N966" s="28"/>
      <c r="O966" s="28"/>
      <c r="P966" s="28"/>
      <c r="Q966" s="36"/>
      <c r="R966" s="36"/>
      <c r="S966" s="36"/>
      <c r="T966" s="36"/>
      <c r="U966" s="36"/>
      <c r="V966" s="36"/>
      <c r="W966" s="36"/>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c r="BW966" s="28"/>
      <c r="BX966" s="28"/>
      <c r="BY966" s="28"/>
      <c r="BZ966" s="28"/>
      <c r="CA966" s="28"/>
      <c r="CB966" s="28"/>
      <c r="CC966" s="28"/>
      <c r="CD966" s="28"/>
      <c r="CE966" s="28"/>
      <c r="CF966" s="28"/>
      <c r="CG966" s="28"/>
    </row>
    <row r="967" spans="1:85" ht="12.75" x14ac:dyDescent="0.2">
      <c r="A967" s="28"/>
      <c r="B967" s="28"/>
      <c r="C967" s="28"/>
      <c r="D967" s="28"/>
      <c r="E967" s="28"/>
      <c r="F967" s="28"/>
      <c r="G967" s="28"/>
      <c r="H967" s="28"/>
      <c r="I967" s="28"/>
      <c r="J967" s="28"/>
      <c r="K967" s="36"/>
      <c r="L967" s="28"/>
      <c r="M967" s="28"/>
      <c r="N967" s="28"/>
      <c r="O967" s="28"/>
      <c r="P967" s="28"/>
      <c r="Q967" s="36"/>
      <c r="R967" s="36"/>
      <c r="S967" s="36"/>
      <c r="T967" s="36"/>
      <c r="U967" s="36"/>
      <c r="V967" s="36"/>
      <c r="W967" s="36"/>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c r="BE967" s="28"/>
      <c r="BF967" s="28"/>
      <c r="BG967" s="28"/>
      <c r="BH967" s="28"/>
      <c r="BI967" s="28"/>
      <c r="BJ967" s="28"/>
      <c r="BK967" s="28"/>
      <c r="BL967" s="28"/>
      <c r="BM967" s="28"/>
      <c r="BN967" s="28"/>
      <c r="BO967" s="28"/>
      <c r="BP967" s="28"/>
      <c r="BQ967" s="28"/>
      <c r="BR967" s="28"/>
      <c r="BS967" s="28"/>
      <c r="BT967" s="28"/>
      <c r="BU967" s="28"/>
      <c r="BV967" s="28"/>
      <c r="BW967" s="28"/>
      <c r="BX967" s="28"/>
      <c r="BY967" s="28"/>
      <c r="BZ967" s="28"/>
      <c r="CA967" s="28"/>
      <c r="CB967" s="28"/>
      <c r="CC967" s="28"/>
      <c r="CD967" s="28"/>
      <c r="CE967" s="28"/>
      <c r="CF967" s="28"/>
      <c r="CG967" s="28"/>
    </row>
    <row r="968" spans="1:85" ht="12.75" x14ac:dyDescent="0.2">
      <c r="A968" s="28"/>
      <c r="B968" s="28"/>
      <c r="C968" s="28"/>
      <c r="D968" s="28"/>
      <c r="E968" s="28"/>
      <c r="F968" s="28"/>
      <c r="G968" s="28"/>
      <c r="H968" s="28"/>
      <c r="I968" s="28"/>
      <c r="J968" s="28"/>
      <c r="K968" s="36"/>
      <c r="L968" s="28"/>
      <c r="M968" s="28"/>
      <c r="N968" s="28"/>
      <c r="O968" s="28"/>
      <c r="P968" s="28"/>
      <c r="Q968" s="36"/>
      <c r="R968" s="36"/>
      <c r="S968" s="36"/>
      <c r="T968" s="36"/>
      <c r="U968" s="36"/>
      <c r="V968" s="36"/>
      <c r="W968" s="36"/>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c r="BW968" s="28"/>
      <c r="BX968" s="28"/>
      <c r="BY968" s="28"/>
      <c r="BZ968" s="28"/>
      <c r="CA968" s="28"/>
      <c r="CB968" s="28"/>
      <c r="CC968" s="28"/>
      <c r="CD968" s="28"/>
      <c r="CE968" s="28"/>
      <c r="CF968" s="28"/>
      <c r="CG968" s="28"/>
    </row>
    <row r="969" spans="1:85" ht="12.75" x14ac:dyDescent="0.2">
      <c r="A969" s="28"/>
      <c r="B969" s="28"/>
      <c r="C969" s="28"/>
      <c r="D969" s="28"/>
      <c r="E969" s="28"/>
      <c r="F969" s="28"/>
      <c r="G969" s="28"/>
      <c r="H969" s="28"/>
      <c r="I969" s="28"/>
      <c r="J969" s="28"/>
      <c r="K969" s="36"/>
      <c r="L969" s="28"/>
      <c r="M969" s="28"/>
      <c r="N969" s="28"/>
      <c r="O969" s="28"/>
      <c r="P969" s="28"/>
      <c r="Q969" s="36"/>
      <c r="R969" s="36"/>
      <c r="S969" s="36"/>
      <c r="T969" s="36"/>
      <c r="U969" s="36"/>
      <c r="V969" s="36"/>
      <c r="W969" s="36"/>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c r="BE969" s="28"/>
      <c r="BF969" s="28"/>
      <c r="BG969" s="28"/>
      <c r="BH969" s="28"/>
      <c r="BI969" s="28"/>
      <c r="BJ969" s="28"/>
      <c r="BK969" s="28"/>
      <c r="BL969" s="28"/>
      <c r="BM969" s="28"/>
      <c r="BN969" s="28"/>
      <c r="BO969" s="28"/>
      <c r="BP969" s="28"/>
      <c r="BQ969" s="28"/>
      <c r="BR969" s="28"/>
      <c r="BS969" s="28"/>
      <c r="BT969" s="28"/>
      <c r="BU969" s="28"/>
      <c r="BV969" s="28"/>
      <c r="BW969" s="28"/>
      <c r="BX969" s="28"/>
      <c r="BY969" s="28"/>
      <c r="BZ969" s="28"/>
      <c r="CA969" s="28"/>
      <c r="CB969" s="28"/>
      <c r="CC969" s="28"/>
      <c r="CD969" s="28"/>
      <c r="CE969" s="28"/>
      <c r="CF969" s="28"/>
      <c r="CG969" s="28"/>
    </row>
    <row r="970" spans="1:85" ht="12.75" x14ac:dyDescent="0.2">
      <c r="A970" s="28"/>
      <c r="B970" s="28"/>
      <c r="C970" s="28"/>
      <c r="D970" s="28"/>
      <c r="E970" s="28"/>
      <c r="F970" s="28"/>
      <c r="G970" s="28"/>
      <c r="H970" s="28"/>
      <c r="I970" s="28"/>
      <c r="J970" s="28"/>
      <c r="K970" s="36"/>
      <c r="L970" s="28"/>
      <c r="M970" s="28"/>
      <c r="N970" s="28"/>
      <c r="O970" s="28"/>
      <c r="P970" s="28"/>
      <c r="Q970" s="36"/>
      <c r="R970" s="36"/>
      <c r="S970" s="36"/>
      <c r="T970" s="36"/>
      <c r="U970" s="36"/>
      <c r="V970" s="36"/>
      <c r="W970" s="36"/>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c r="BW970" s="28"/>
      <c r="BX970" s="28"/>
      <c r="BY970" s="28"/>
      <c r="BZ970" s="28"/>
      <c r="CA970" s="28"/>
      <c r="CB970" s="28"/>
      <c r="CC970" s="28"/>
      <c r="CD970" s="28"/>
      <c r="CE970" s="28"/>
      <c r="CF970" s="28"/>
      <c r="CG970" s="28"/>
    </row>
    <row r="971" spans="1:85" ht="12.75" x14ac:dyDescent="0.2">
      <c r="A971" s="28"/>
      <c r="B971" s="28"/>
      <c r="C971" s="28"/>
      <c r="D971" s="28"/>
      <c r="E971" s="28"/>
      <c r="F971" s="28"/>
      <c r="G971" s="28"/>
      <c r="H971" s="28"/>
      <c r="I971" s="28"/>
      <c r="J971" s="28"/>
      <c r="K971" s="36"/>
      <c r="L971" s="28"/>
      <c r="M971" s="28"/>
      <c r="N971" s="28"/>
      <c r="O971" s="28"/>
      <c r="P971" s="28"/>
      <c r="Q971" s="36"/>
      <c r="R971" s="36"/>
      <c r="S971" s="36"/>
      <c r="T971" s="36"/>
      <c r="U971" s="36"/>
      <c r="V971" s="36"/>
      <c r="W971" s="36"/>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c r="BE971" s="28"/>
      <c r="BF971" s="28"/>
      <c r="BG971" s="28"/>
      <c r="BH971" s="28"/>
      <c r="BI971" s="28"/>
      <c r="BJ971" s="28"/>
      <c r="BK971" s="28"/>
      <c r="BL971" s="28"/>
      <c r="BM971" s="28"/>
      <c r="BN971" s="28"/>
      <c r="BO971" s="28"/>
      <c r="BP971" s="28"/>
      <c r="BQ971" s="28"/>
      <c r="BR971" s="28"/>
      <c r="BS971" s="28"/>
      <c r="BT971" s="28"/>
      <c r="BU971" s="28"/>
      <c r="BV971" s="28"/>
      <c r="BW971" s="28"/>
      <c r="BX971" s="28"/>
      <c r="BY971" s="28"/>
      <c r="BZ971" s="28"/>
      <c r="CA971" s="28"/>
      <c r="CB971" s="28"/>
      <c r="CC971" s="28"/>
      <c r="CD971" s="28"/>
      <c r="CE971" s="28"/>
      <c r="CF971" s="28"/>
      <c r="CG971" s="28"/>
    </row>
    <row r="972" spans="1:85" ht="12.75" x14ac:dyDescent="0.2">
      <c r="A972" s="28"/>
      <c r="B972" s="28"/>
      <c r="C972" s="28"/>
      <c r="D972" s="28"/>
      <c r="E972" s="28"/>
      <c r="F972" s="28"/>
      <c r="G972" s="28"/>
      <c r="H972" s="28"/>
      <c r="I972" s="28"/>
      <c r="J972" s="28"/>
      <c r="K972" s="36"/>
      <c r="L972" s="28"/>
      <c r="M972" s="28"/>
      <c r="N972" s="28"/>
      <c r="O972" s="28"/>
      <c r="P972" s="28"/>
      <c r="Q972" s="36"/>
      <c r="R972" s="36"/>
      <c r="S972" s="36"/>
      <c r="T972" s="36"/>
      <c r="U972" s="36"/>
      <c r="V972" s="36"/>
      <c r="W972" s="36"/>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c r="BW972" s="28"/>
      <c r="BX972" s="28"/>
      <c r="BY972" s="28"/>
      <c r="BZ972" s="28"/>
      <c r="CA972" s="28"/>
      <c r="CB972" s="28"/>
      <c r="CC972" s="28"/>
      <c r="CD972" s="28"/>
      <c r="CE972" s="28"/>
      <c r="CF972" s="28"/>
      <c r="CG972" s="28"/>
    </row>
    <row r="973" spans="1:85" ht="12.75" x14ac:dyDescent="0.2">
      <c r="A973" s="28"/>
      <c r="B973" s="28"/>
      <c r="C973" s="28"/>
      <c r="D973" s="28"/>
      <c r="E973" s="28"/>
      <c r="F973" s="28"/>
      <c r="G973" s="28"/>
      <c r="H973" s="28"/>
      <c r="I973" s="28"/>
      <c r="J973" s="28"/>
      <c r="K973" s="36"/>
      <c r="L973" s="28"/>
      <c r="M973" s="28"/>
      <c r="N973" s="28"/>
      <c r="O973" s="28"/>
      <c r="P973" s="28"/>
      <c r="Q973" s="36"/>
      <c r="R973" s="36"/>
      <c r="S973" s="36"/>
      <c r="T973" s="36"/>
      <c r="U973" s="36"/>
      <c r="V973" s="36"/>
      <c r="W973" s="36"/>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c r="BE973" s="28"/>
      <c r="BF973" s="28"/>
      <c r="BG973" s="28"/>
      <c r="BH973" s="28"/>
      <c r="BI973" s="28"/>
      <c r="BJ973" s="28"/>
      <c r="BK973" s="28"/>
      <c r="BL973" s="28"/>
      <c r="BM973" s="28"/>
      <c r="BN973" s="28"/>
      <c r="BO973" s="28"/>
      <c r="BP973" s="28"/>
      <c r="BQ973" s="28"/>
      <c r="BR973" s="28"/>
      <c r="BS973" s="28"/>
      <c r="BT973" s="28"/>
      <c r="BU973" s="28"/>
      <c r="BV973" s="28"/>
      <c r="BW973" s="28"/>
      <c r="BX973" s="28"/>
      <c r="BY973" s="28"/>
      <c r="BZ973" s="28"/>
      <c r="CA973" s="28"/>
      <c r="CB973" s="28"/>
      <c r="CC973" s="28"/>
      <c r="CD973" s="28"/>
      <c r="CE973" s="28"/>
      <c r="CF973" s="28"/>
      <c r="CG973" s="28"/>
    </row>
    <row r="974" spans="1:85" ht="12.75" x14ac:dyDescent="0.2">
      <c r="A974" s="28"/>
      <c r="B974" s="28"/>
      <c r="C974" s="28"/>
      <c r="D974" s="28"/>
      <c r="E974" s="28"/>
      <c r="F974" s="28"/>
      <c r="G974" s="28"/>
      <c r="H974" s="28"/>
      <c r="I974" s="28"/>
      <c r="J974" s="28"/>
      <c r="K974" s="36"/>
      <c r="L974" s="28"/>
      <c r="M974" s="28"/>
      <c r="N974" s="28"/>
      <c r="O974" s="28"/>
      <c r="P974" s="28"/>
      <c r="Q974" s="36"/>
      <c r="R974" s="36"/>
      <c r="S974" s="36"/>
      <c r="T974" s="36"/>
      <c r="U974" s="36"/>
      <c r="V974" s="36"/>
      <c r="W974" s="36"/>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c r="CA974" s="28"/>
      <c r="CB974" s="28"/>
      <c r="CC974" s="28"/>
      <c r="CD974" s="28"/>
      <c r="CE974" s="28"/>
      <c r="CF974" s="28"/>
      <c r="CG974" s="28"/>
    </row>
    <row r="975" spans="1:85" ht="12.75" x14ac:dyDescent="0.2">
      <c r="A975" s="28"/>
      <c r="B975" s="28"/>
      <c r="C975" s="28"/>
      <c r="D975" s="28"/>
      <c r="E975" s="28"/>
      <c r="F975" s="28"/>
      <c r="G975" s="28"/>
      <c r="H975" s="28"/>
      <c r="I975" s="28"/>
      <c r="J975" s="28"/>
      <c r="K975" s="36"/>
      <c r="L975" s="28"/>
      <c r="M975" s="28"/>
      <c r="N975" s="28"/>
      <c r="O975" s="28"/>
      <c r="P975" s="28"/>
      <c r="Q975" s="36"/>
      <c r="R975" s="36"/>
      <c r="S975" s="36"/>
      <c r="T975" s="36"/>
      <c r="U975" s="36"/>
      <c r="V975" s="36"/>
      <c r="W975" s="36"/>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c r="BE975" s="28"/>
      <c r="BF975" s="28"/>
      <c r="BG975" s="28"/>
      <c r="BH975" s="28"/>
      <c r="BI975" s="28"/>
      <c r="BJ975" s="28"/>
      <c r="BK975" s="28"/>
      <c r="BL975" s="28"/>
      <c r="BM975" s="28"/>
      <c r="BN975" s="28"/>
      <c r="BO975" s="28"/>
      <c r="BP975" s="28"/>
      <c r="BQ975" s="28"/>
      <c r="BR975" s="28"/>
      <c r="BS975" s="28"/>
      <c r="BT975" s="28"/>
      <c r="BU975" s="28"/>
      <c r="BV975" s="28"/>
      <c r="BW975" s="28"/>
      <c r="BX975" s="28"/>
      <c r="BY975" s="28"/>
      <c r="BZ975" s="28"/>
      <c r="CA975" s="28"/>
      <c r="CB975" s="28"/>
      <c r="CC975" s="28"/>
      <c r="CD975" s="28"/>
      <c r="CE975" s="28"/>
      <c r="CF975" s="28"/>
      <c r="CG975" s="28"/>
    </row>
    <row r="976" spans="1:85" ht="12.75" x14ac:dyDescent="0.2">
      <c r="A976" s="28"/>
      <c r="B976" s="28"/>
      <c r="C976" s="28"/>
      <c r="D976" s="28"/>
      <c r="E976" s="28"/>
      <c r="F976" s="28"/>
      <c r="G976" s="28"/>
      <c r="H976" s="28"/>
      <c r="I976" s="28"/>
      <c r="J976" s="28"/>
      <c r="K976" s="36"/>
      <c r="L976" s="28"/>
      <c r="M976" s="28"/>
      <c r="N976" s="28"/>
      <c r="O976" s="28"/>
      <c r="P976" s="28"/>
      <c r="Q976" s="36"/>
      <c r="R976" s="36"/>
      <c r="S976" s="36"/>
      <c r="T976" s="36"/>
      <c r="U976" s="36"/>
      <c r="V976" s="36"/>
      <c r="W976" s="36"/>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c r="BW976" s="28"/>
      <c r="BX976" s="28"/>
      <c r="BY976" s="28"/>
      <c r="BZ976" s="28"/>
      <c r="CA976" s="28"/>
      <c r="CB976" s="28"/>
      <c r="CC976" s="28"/>
      <c r="CD976" s="28"/>
      <c r="CE976" s="28"/>
      <c r="CF976" s="28"/>
      <c r="CG976" s="28"/>
    </row>
    <row r="977" spans="1:85" ht="12.75" x14ac:dyDescent="0.2">
      <c r="A977" s="28"/>
      <c r="B977" s="28"/>
      <c r="C977" s="28"/>
      <c r="D977" s="28"/>
      <c r="E977" s="28"/>
      <c r="F977" s="28"/>
      <c r="G977" s="28"/>
      <c r="H977" s="28"/>
      <c r="I977" s="28"/>
      <c r="J977" s="28"/>
      <c r="K977" s="36"/>
      <c r="L977" s="28"/>
      <c r="M977" s="28"/>
      <c r="N977" s="28"/>
      <c r="O977" s="28"/>
      <c r="P977" s="28"/>
      <c r="Q977" s="36"/>
      <c r="R977" s="36"/>
      <c r="S977" s="36"/>
      <c r="T977" s="36"/>
      <c r="U977" s="36"/>
      <c r="V977" s="36"/>
      <c r="W977" s="36"/>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c r="BE977" s="28"/>
      <c r="BF977" s="28"/>
      <c r="BG977" s="28"/>
      <c r="BH977" s="28"/>
      <c r="BI977" s="28"/>
      <c r="BJ977" s="28"/>
      <c r="BK977" s="28"/>
      <c r="BL977" s="28"/>
      <c r="BM977" s="28"/>
      <c r="BN977" s="28"/>
      <c r="BO977" s="28"/>
      <c r="BP977" s="28"/>
      <c r="BQ977" s="28"/>
      <c r="BR977" s="28"/>
      <c r="BS977" s="28"/>
      <c r="BT977" s="28"/>
      <c r="BU977" s="28"/>
      <c r="BV977" s="28"/>
      <c r="BW977" s="28"/>
      <c r="BX977" s="28"/>
      <c r="BY977" s="28"/>
      <c r="BZ977" s="28"/>
      <c r="CA977" s="28"/>
      <c r="CB977" s="28"/>
      <c r="CC977" s="28"/>
      <c r="CD977" s="28"/>
      <c r="CE977" s="28"/>
      <c r="CF977" s="28"/>
      <c r="CG977" s="28"/>
    </row>
    <row r="978" spans="1:85" ht="12.75" x14ac:dyDescent="0.2">
      <c r="A978" s="28"/>
      <c r="B978" s="28"/>
      <c r="C978" s="28"/>
      <c r="D978" s="28"/>
      <c r="E978" s="28"/>
      <c r="F978" s="28"/>
      <c r="G978" s="28"/>
      <c r="H978" s="28"/>
      <c r="I978" s="28"/>
      <c r="J978" s="28"/>
      <c r="K978" s="36"/>
      <c r="L978" s="28"/>
      <c r="M978" s="28"/>
      <c r="N978" s="28"/>
      <c r="O978" s="28"/>
      <c r="P978" s="28"/>
      <c r="Q978" s="36"/>
      <c r="R978" s="36"/>
      <c r="S978" s="36"/>
      <c r="T978" s="36"/>
      <c r="U978" s="36"/>
      <c r="V978" s="36"/>
      <c r="W978" s="36"/>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c r="BW978" s="28"/>
      <c r="BX978" s="28"/>
      <c r="BY978" s="28"/>
      <c r="BZ978" s="28"/>
      <c r="CA978" s="28"/>
      <c r="CB978" s="28"/>
      <c r="CC978" s="28"/>
      <c r="CD978" s="28"/>
      <c r="CE978" s="28"/>
      <c r="CF978" s="28"/>
      <c r="CG978" s="28"/>
    </row>
    <row r="979" spans="1:85" ht="12.75" x14ac:dyDescent="0.2">
      <c r="A979" s="28"/>
      <c r="B979" s="28"/>
      <c r="C979" s="28"/>
      <c r="D979" s="28"/>
      <c r="E979" s="28"/>
      <c r="F979" s="28"/>
      <c r="G979" s="28"/>
      <c r="H979" s="28"/>
      <c r="I979" s="28"/>
      <c r="J979" s="28"/>
      <c r="K979" s="36"/>
      <c r="L979" s="28"/>
      <c r="M979" s="28"/>
      <c r="N979" s="28"/>
      <c r="O979" s="28"/>
      <c r="P979" s="28"/>
      <c r="Q979" s="36"/>
      <c r="R979" s="36"/>
      <c r="S979" s="36"/>
      <c r="T979" s="36"/>
      <c r="U979" s="36"/>
      <c r="V979" s="36"/>
      <c r="W979" s="36"/>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c r="BE979" s="28"/>
      <c r="BF979" s="28"/>
      <c r="BG979" s="28"/>
      <c r="BH979" s="28"/>
      <c r="BI979" s="28"/>
      <c r="BJ979" s="28"/>
      <c r="BK979" s="28"/>
      <c r="BL979" s="28"/>
      <c r="BM979" s="28"/>
      <c r="BN979" s="28"/>
      <c r="BO979" s="28"/>
      <c r="BP979" s="28"/>
      <c r="BQ979" s="28"/>
      <c r="BR979" s="28"/>
      <c r="BS979" s="28"/>
      <c r="BT979" s="28"/>
      <c r="BU979" s="28"/>
      <c r="BV979" s="28"/>
      <c r="BW979" s="28"/>
      <c r="BX979" s="28"/>
      <c r="BY979" s="28"/>
      <c r="BZ979" s="28"/>
      <c r="CA979" s="28"/>
      <c r="CB979" s="28"/>
      <c r="CC979" s="28"/>
      <c r="CD979" s="28"/>
      <c r="CE979" s="28"/>
      <c r="CF979" s="28"/>
      <c r="CG979" s="28"/>
    </row>
    <row r="980" spans="1:85" ht="12.75" x14ac:dyDescent="0.2">
      <c r="A980" s="28"/>
      <c r="B980" s="28"/>
      <c r="C980" s="28"/>
      <c r="D980" s="28"/>
      <c r="E980" s="28"/>
      <c r="F980" s="28"/>
      <c r="G980" s="28"/>
      <c r="H980" s="28"/>
      <c r="I980" s="28"/>
      <c r="J980" s="28"/>
      <c r="K980" s="36"/>
      <c r="L980" s="28"/>
      <c r="M980" s="28"/>
      <c r="N980" s="28"/>
      <c r="O980" s="28"/>
      <c r="P980" s="28"/>
      <c r="Q980" s="36"/>
      <c r="R980" s="36"/>
      <c r="S980" s="36"/>
      <c r="T980" s="36"/>
      <c r="U980" s="36"/>
      <c r="V980" s="36"/>
      <c r="W980" s="36"/>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c r="BW980" s="28"/>
      <c r="BX980" s="28"/>
      <c r="BY980" s="28"/>
      <c r="BZ980" s="28"/>
      <c r="CA980" s="28"/>
      <c r="CB980" s="28"/>
      <c r="CC980" s="28"/>
      <c r="CD980" s="28"/>
      <c r="CE980" s="28"/>
      <c r="CF980" s="28"/>
      <c r="CG980" s="28"/>
    </row>
    <row r="981" spans="1:85" ht="12.75" x14ac:dyDescent="0.2">
      <c r="A981" s="28"/>
      <c r="B981" s="28"/>
      <c r="C981" s="28"/>
      <c r="D981" s="28"/>
      <c r="E981" s="28"/>
      <c r="F981" s="28"/>
      <c r="G981" s="28"/>
      <c r="H981" s="28"/>
      <c r="I981" s="28"/>
      <c r="J981" s="28"/>
      <c r="K981" s="36"/>
      <c r="L981" s="28"/>
      <c r="M981" s="28"/>
      <c r="N981" s="28"/>
      <c r="O981" s="28"/>
      <c r="P981" s="28"/>
      <c r="Q981" s="36"/>
      <c r="R981" s="36"/>
      <c r="S981" s="36"/>
      <c r="T981" s="36"/>
      <c r="U981" s="36"/>
      <c r="V981" s="36"/>
      <c r="W981" s="36"/>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c r="BE981" s="28"/>
      <c r="BF981" s="28"/>
      <c r="BG981" s="28"/>
      <c r="BH981" s="28"/>
      <c r="BI981" s="28"/>
      <c r="BJ981" s="28"/>
      <c r="BK981" s="28"/>
      <c r="BL981" s="28"/>
      <c r="BM981" s="28"/>
      <c r="BN981" s="28"/>
      <c r="BO981" s="28"/>
      <c r="BP981" s="28"/>
      <c r="BQ981" s="28"/>
      <c r="BR981" s="28"/>
      <c r="BS981" s="28"/>
      <c r="BT981" s="28"/>
      <c r="BU981" s="28"/>
      <c r="BV981" s="28"/>
      <c r="BW981" s="28"/>
      <c r="BX981" s="28"/>
      <c r="BY981" s="28"/>
      <c r="BZ981" s="28"/>
      <c r="CA981" s="28"/>
      <c r="CB981" s="28"/>
      <c r="CC981" s="28"/>
      <c r="CD981" s="28"/>
      <c r="CE981" s="28"/>
      <c r="CF981" s="28"/>
      <c r="CG981" s="28"/>
    </row>
    <row r="982" spans="1:85" ht="12.75" x14ac:dyDescent="0.2">
      <c r="A982" s="28"/>
      <c r="B982" s="28"/>
      <c r="C982" s="28"/>
      <c r="D982" s="28"/>
      <c r="E982" s="28"/>
      <c r="F982" s="28"/>
      <c r="G982" s="28"/>
      <c r="H982" s="28"/>
      <c r="I982" s="28"/>
      <c r="J982" s="28"/>
      <c r="K982" s="36"/>
      <c r="L982" s="28"/>
      <c r="M982" s="28"/>
      <c r="N982" s="28"/>
      <c r="O982" s="28"/>
      <c r="P982" s="28"/>
      <c r="Q982" s="36"/>
      <c r="R982" s="36"/>
      <c r="S982" s="36"/>
      <c r="T982" s="36"/>
      <c r="U982" s="36"/>
      <c r="V982" s="36"/>
      <c r="W982" s="36"/>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c r="BW982" s="28"/>
      <c r="BX982" s="28"/>
      <c r="BY982" s="28"/>
      <c r="BZ982" s="28"/>
      <c r="CA982" s="28"/>
      <c r="CB982" s="28"/>
      <c r="CC982" s="28"/>
      <c r="CD982" s="28"/>
      <c r="CE982" s="28"/>
      <c r="CF982" s="28"/>
      <c r="CG982" s="28"/>
    </row>
    <row r="983" spans="1:85" ht="12.75" x14ac:dyDescent="0.2">
      <c r="A983" s="28"/>
      <c r="B983" s="28"/>
      <c r="C983" s="28"/>
      <c r="D983" s="28"/>
      <c r="E983" s="28"/>
      <c r="F983" s="28"/>
      <c r="G983" s="28"/>
      <c r="H983" s="28"/>
      <c r="I983" s="28"/>
      <c r="J983" s="28"/>
      <c r="K983" s="36"/>
      <c r="L983" s="28"/>
      <c r="M983" s="28"/>
      <c r="N983" s="28"/>
      <c r="O983" s="28"/>
      <c r="P983" s="28"/>
      <c r="Q983" s="36"/>
      <c r="R983" s="36"/>
      <c r="S983" s="36"/>
      <c r="T983" s="36"/>
      <c r="U983" s="36"/>
      <c r="V983" s="36"/>
      <c r="W983" s="36"/>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c r="BE983" s="28"/>
      <c r="BF983" s="28"/>
      <c r="BG983" s="28"/>
      <c r="BH983" s="28"/>
      <c r="BI983" s="28"/>
      <c r="BJ983" s="28"/>
      <c r="BK983" s="28"/>
      <c r="BL983" s="28"/>
      <c r="BM983" s="28"/>
      <c r="BN983" s="28"/>
      <c r="BO983" s="28"/>
      <c r="BP983" s="28"/>
      <c r="BQ983" s="28"/>
      <c r="BR983" s="28"/>
      <c r="BS983" s="28"/>
      <c r="BT983" s="28"/>
      <c r="BU983" s="28"/>
      <c r="BV983" s="28"/>
      <c r="BW983" s="28"/>
      <c r="BX983" s="28"/>
      <c r="BY983" s="28"/>
      <c r="BZ983" s="28"/>
      <c r="CA983" s="28"/>
      <c r="CB983" s="28"/>
      <c r="CC983" s="28"/>
      <c r="CD983" s="28"/>
      <c r="CE983" s="28"/>
      <c r="CF983" s="28"/>
      <c r="CG983" s="28"/>
    </row>
    <row r="984" spans="1:85" ht="12.75" x14ac:dyDescent="0.2">
      <c r="A984" s="28"/>
      <c r="B984" s="28"/>
      <c r="C984" s="28"/>
      <c r="D984" s="28"/>
      <c r="E984" s="28"/>
      <c r="F984" s="28"/>
      <c r="G984" s="28"/>
      <c r="H984" s="28"/>
      <c r="I984" s="28"/>
      <c r="J984" s="28"/>
      <c r="K984" s="36"/>
      <c r="L984" s="28"/>
      <c r="M984" s="28"/>
      <c r="N984" s="28"/>
      <c r="O984" s="28"/>
      <c r="P984" s="28"/>
      <c r="Q984" s="36"/>
      <c r="R984" s="36"/>
      <c r="S984" s="36"/>
      <c r="T984" s="36"/>
      <c r="U984" s="36"/>
      <c r="V984" s="36"/>
      <c r="W984" s="36"/>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c r="BW984" s="28"/>
      <c r="BX984" s="28"/>
      <c r="BY984" s="28"/>
      <c r="BZ984" s="28"/>
      <c r="CA984" s="28"/>
      <c r="CB984" s="28"/>
      <c r="CC984" s="28"/>
      <c r="CD984" s="28"/>
      <c r="CE984" s="28"/>
      <c r="CF984" s="28"/>
      <c r="CG984" s="28"/>
    </row>
    <row r="985" spans="1:85" ht="12.75" x14ac:dyDescent="0.2">
      <c r="A985" s="28"/>
      <c r="B985" s="28"/>
      <c r="C985" s="28"/>
      <c r="D985" s="28"/>
      <c r="E985" s="28"/>
      <c r="F985" s="28"/>
      <c r="G985" s="28"/>
      <c r="H985" s="28"/>
      <c r="I985" s="28"/>
      <c r="J985" s="28"/>
      <c r="K985" s="36"/>
      <c r="L985" s="28"/>
      <c r="M985" s="28"/>
      <c r="N985" s="28"/>
      <c r="O985" s="28"/>
      <c r="P985" s="28"/>
      <c r="Q985" s="36"/>
      <c r="R985" s="36"/>
      <c r="S985" s="36"/>
      <c r="T985" s="36"/>
      <c r="U985" s="36"/>
      <c r="V985" s="36"/>
      <c r="W985" s="36"/>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c r="BE985" s="28"/>
      <c r="BF985" s="28"/>
      <c r="BG985" s="28"/>
      <c r="BH985" s="28"/>
      <c r="BI985" s="28"/>
      <c r="BJ985" s="28"/>
      <c r="BK985" s="28"/>
      <c r="BL985" s="28"/>
      <c r="BM985" s="28"/>
      <c r="BN985" s="28"/>
      <c r="BO985" s="28"/>
      <c r="BP985" s="28"/>
      <c r="BQ985" s="28"/>
      <c r="BR985" s="28"/>
      <c r="BS985" s="28"/>
      <c r="BT985" s="28"/>
      <c r="BU985" s="28"/>
      <c r="BV985" s="28"/>
      <c r="BW985" s="28"/>
      <c r="BX985" s="28"/>
      <c r="BY985" s="28"/>
      <c r="BZ985" s="28"/>
      <c r="CA985" s="28"/>
      <c r="CB985" s="28"/>
      <c r="CC985" s="28"/>
      <c r="CD985" s="28"/>
      <c r="CE985" s="28"/>
      <c r="CF985" s="28"/>
      <c r="CG985" s="28"/>
    </row>
    <row r="986" spans="1:85" ht="12.75" x14ac:dyDescent="0.2">
      <c r="A986" s="28"/>
      <c r="B986" s="28"/>
      <c r="C986" s="28"/>
      <c r="D986" s="28"/>
      <c r="E986" s="28"/>
      <c r="F986" s="28"/>
      <c r="G986" s="28"/>
      <c r="H986" s="28"/>
      <c r="I986" s="28"/>
      <c r="J986" s="28"/>
      <c r="K986" s="36"/>
      <c r="L986" s="28"/>
      <c r="M986" s="28"/>
      <c r="N986" s="28"/>
      <c r="O986" s="28"/>
      <c r="P986" s="28"/>
      <c r="Q986" s="36"/>
      <c r="R986" s="36"/>
      <c r="S986" s="36"/>
      <c r="T986" s="36"/>
      <c r="U986" s="36"/>
      <c r="V986" s="36"/>
      <c r="W986" s="36"/>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8"/>
      <c r="BW986" s="28"/>
      <c r="BX986" s="28"/>
      <c r="BY986" s="28"/>
      <c r="BZ986" s="28"/>
      <c r="CA986" s="28"/>
      <c r="CB986" s="28"/>
      <c r="CC986" s="28"/>
      <c r="CD986" s="28"/>
      <c r="CE986" s="28"/>
      <c r="CF986" s="28"/>
      <c r="CG986" s="28"/>
    </row>
    <row r="987" spans="1:85" ht="12.75" x14ac:dyDescent="0.2">
      <c r="A987" s="28"/>
      <c r="B987" s="28"/>
      <c r="C987" s="28"/>
      <c r="D987" s="28"/>
      <c r="E987" s="28"/>
      <c r="F987" s="28"/>
      <c r="G987" s="28"/>
      <c r="H987" s="28"/>
      <c r="I987" s="28"/>
      <c r="J987" s="28"/>
      <c r="K987" s="36"/>
      <c r="L987" s="28"/>
      <c r="M987" s="28"/>
      <c r="N987" s="28"/>
      <c r="O987" s="28"/>
      <c r="P987" s="28"/>
      <c r="Q987" s="36"/>
      <c r="R987" s="36"/>
      <c r="S987" s="36"/>
      <c r="T987" s="36"/>
      <c r="U987" s="36"/>
      <c r="V987" s="36"/>
      <c r="W987" s="36"/>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c r="BD987" s="28"/>
      <c r="BE987" s="28"/>
      <c r="BF987" s="28"/>
      <c r="BG987" s="28"/>
      <c r="BH987" s="28"/>
      <c r="BI987" s="28"/>
      <c r="BJ987" s="28"/>
      <c r="BK987" s="28"/>
      <c r="BL987" s="28"/>
      <c r="BM987" s="28"/>
      <c r="BN987" s="28"/>
      <c r="BO987" s="28"/>
      <c r="BP987" s="28"/>
      <c r="BQ987" s="28"/>
      <c r="BR987" s="28"/>
      <c r="BS987" s="28"/>
      <c r="BT987" s="28"/>
      <c r="BU987" s="28"/>
      <c r="BV987" s="28"/>
      <c r="BW987" s="28"/>
      <c r="BX987" s="28"/>
      <c r="BY987" s="28"/>
      <c r="BZ987" s="28"/>
      <c r="CA987" s="28"/>
      <c r="CB987" s="28"/>
      <c r="CC987" s="28"/>
      <c r="CD987" s="28"/>
      <c r="CE987" s="28"/>
      <c r="CF987" s="28"/>
      <c r="CG987" s="28"/>
    </row>
    <row r="988" spans="1:85" ht="12.75" x14ac:dyDescent="0.2">
      <c r="A988" s="28"/>
      <c r="B988" s="28"/>
      <c r="C988" s="28"/>
      <c r="D988" s="28"/>
      <c r="E988" s="28"/>
      <c r="F988" s="28"/>
      <c r="G988" s="28"/>
      <c r="H988" s="28"/>
      <c r="I988" s="28"/>
      <c r="J988" s="28"/>
      <c r="K988" s="36"/>
      <c r="L988" s="28"/>
      <c r="M988" s="28"/>
      <c r="N988" s="28"/>
      <c r="O988" s="28"/>
      <c r="P988" s="28"/>
      <c r="Q988" s="36"/>
      <c r="R988" s="36"/>
      <c r="S988" s="36"/>
      <c r="T988" s="36"/>
      <c r="U988" s="36"/>
      <c r="V988" s="36"/>
      <c r="W988" s="36"/>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8"/>
      <c r="BW988" s="28"/>
      <c r="BX988" s="28"/>
      <c r="BY988" s="28"/>
      <c r="BZ988" s="28"/>
      <c r="CA988" s="28"/>
      <c r="CB988" s="28"/>
      <c r="CC988" s="28"/>
      <c r="CD988" s="28"/>
      <c r="CE988" s="28"/>
      <c r="CF988" s="28"/>
      <c r="CG988" s="28"/>
    </row>
    <row r="989" spans="1:85" ht="12.75" x14ac:dyDescent="0.2">
      <c r="A989" s="28"/>
      <c r="B989" s="28"/>
      <c r="C989" s="28"/>
      <c r="D989" s="28"/>
      <c r="E989" s="28"/>
      <c r="F989" s="28"/>
      <c r="G989" s="28"/>
      <c r="H989" s="28"/>
      <c r="I989" s="28"/>
      <c r="J989" s="28"/>
      <c r="K989" s="36"/>
      <c r="L989" s="28"/>
      <c r="M989" s="28"/>
      <c r="N989" s="28"/>
      <c r="O989" s="28"/>
      <c r="P989" s="28"/>
      <c r="Q989" s="36"/>
      <c r="R989" s="36"/>
      <c r="S989" s="36"/>
      <c r="T989" s="36"/>
      <c r="U989" s="36"/>
      <c r="V989" s="36"/>
      <c r="W989" s="36"/>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c r="BD989" s="28"/>
      <c r="BE989" s="28"/>
      <c r="BF989" s="28"/>
      <c r="BG989" s="28"/>
      <c r="BH989" s="28"/>
      <c r="BI989" s="28"/>
      <c r="BJ989" s="28"/>
      <c r="BK989" s="28"/>
      <c r="BL989" s="28"/>
      <c r="BM989" s="28"/>
      <c r="BN989" s="28"/>
      <c r="BO989" s="28"/>
      <c r="BP989" s="28"/>
      <c r="BQ989" s="28"/>
      <c r="BR989" s="28"/>
      <c r="BS989" s="28"/>
      <c r="BT989" s="28"/>
      <c r="BU989" s="28"/>
      <c r="BV989" s="28"/>
      <c r="BW989" s="28"/>
      <c r="BX989" s="28"/>
      <c r="BY989" s="28"/>
      <c r="BZ989" s="28"/>
      <c r="CA989" s="28"/>
      <c r="CB989" s="28"/>
      <c r="CC989" s="28"/>
      <c r="CD989" s="28"/>
      <c r="CE989" s="28"/>
      <c r="CF989" s="28"/>
      <c r="CG989" s="28"/>
    </row>
    <row r="990" spans="1:85" ht="12.75" x14ac:dyDescent="0.2">
      <c r="A990" s="28"/>
      <c r="B990" s="28"/>
      <c r="C990" s="28"/>
      <c r="D990" s="28"/>
      <c r="E990" s="28"/>
      <c r="F990" s="28"/>
      <c r="G990" s="28"/>
      <c r="H990" s="28"/>
      <c r="I990" s="28"/>
      <c r="J990" s="28"/>
      <c r="K990" s="36"/>
      <c r="L990" s="28"/>
      <c r="M990" s="28"/>
      <c r="N990" s="28"/>
      <c r="O990" s="28"/>
      <c r="P990" s="28"/>
      <c r="Q990" s="36"/>
      <c r="R990" s="36"/>
      <c r="S990" s="36"/>
      <c r="T990" s="36"/>
      <c r="U990" s="36"/>
      <c r="V990" s="36"/>
      <c r="W990" s="36"/>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8"/>
      <c r="BW990" s="28"/>
      <c r="BX990" s="28"/>
      <c r="BY990" s="28"/>
      <c r="BZ990" s="28"/>
      <c r="CA990" s="28"/>
      <c r="CB990" s="28"/>
      <c r="CC990" s="28"/>
      <c r="CD990" s="28"/>
      <c r="CE990" s="28"/>
      <c r="CF990" s="28"/>
      <c r="CG990" s="28"/>
    </row>
    <row r="991" spans="1:85" ht="12.75" x14ac:dyDescent="0.2">
      <c r="A991" s="28"/>
      <c r="B991" s="28"/>
      <c r="C991" s="28"/>
      <c r="D991" s="28"/>
      <c r="E991" s="28"/>
      <c r="F991" s="28"/>
      <c r="G991" s="28"/>
      <c r="H991" s="28"/>
      <c r="I991" s="28"/>
      <c r="J991" s="28"/>
      <c r="K991" s="36"/>
      <c r="L991" s="28"/>
      <c r="M991" s="28"/>
      <c r="N991" s="28"/>
      <c r="O991" s="28"/>
      <c r="P991" s="28"/>
      <c r="Q991" s="36"/>
      <c r="R991" s="36"/>
      <c r="S991" s="36"/>
      <c r="T991" s="36"/>
      <c r="U991" s="36"/>
      <c r="V991" s="36"/>
      <c r="W991" s="36"/>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c r="BD991" s="28"/>
      <c r="BE991" s="28"/>
      <c r="BF991" s="28"/>
      <c r="BG991" s="28"/>
      <c r="BH991" s="28"/>
      <c r="BI991" s="28"/>
      <c r="BJ991" s="28"/>
      <c r="BK991" s="28"/>
      <c r="BL991" s="28"/>
      <c r="BM991" s="28"/>
      <c r="BN991" s="28"/>
      <c r="BO991" s="28"/>
      <c r="BP991" s="28"/>
      <c r="BQ991" s="28"/>
      <c r="BR991" s="28"/>
      <c r="BS991" s="28"/>
      <c r="BT991" s="28"/>
      <c r="BU991" s="28"/>
      <c r="BV991" s="28"/>
      <c r="BW991" s="28"/>
      <c r="BX991" s="28"/>
      <c r="BY991" s="28"/>
      <c r="BZ991" s="28"/>
      <c r="CA991" s="28"/>
      <c r="CB991" s="28"/>
      <c r="CC991" s="28"/>
      <c r="CD991" s="28"/>
      <c r="CE991" s="28"/>
      <c r="CF991" s="28"/>
      <c r="CG991" s="28"/>
    </row>
    <row r="992" spans="1:85" ht="12.75" x14ac:dyDescent="0.2">
      <c r="A992" s="28"/>
      <c r="B992" s="28"/>
      <c r="C992" s="28"/>
      <c r="D992" s="28"/>
      <c r="E992" s="28"/>
      <c r="F992" s="28"/>
      <c r="G992" s="28"/>
      <c r="H992" s="28"/>
      <c r="I992" s="28"/>
      <c r="J992" s="28"/>
      <c r="K992" s="36"/>
      <c r="L992" s="28"/>
      <c r="M992" s="28"/>
      <c r="N992" s="28"/>
      <c r="O992" s="28"/>
      <c r="P992" s="28"/>
      <c r="Q992" s="36"/>
      <c r="R992" s="36"/>
      <c r="S992" s="36"/>
      <c r="T992" s="36"/>
      <c r="U992" s="36"/>
      <c r="V992" s="36"/>
      <c r="W992" s="36"/>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8"/>
      <c r="BW992" s="28"/>
      <c r="BX992" s="28"/>
      <c r="BY992" s="28"/>
      <c r="BZ992" s="28"/>
      <c r="CA992" s="28"/>
      <c r="CB992" s="28"/>
      <c r="CC992" s="28"/>
      <c r="CD992" s="28"/>
      <c r="CE992" s="28"/>
      <c r="CF992" s="28"/>
      <c r="CG992" s="28"/>
    </row>
    <row r="993" spans="1:85" ht="12.75" x14ac:dyDescent="0.2">
      <c r="A993" s="28"/>
      <c r="B993" s="28"/>
      <c r="C993" s="28"/>
      <c r="D993" s="28"/>
      <c r="E993" s="28"/>
      <c r="F993" s="28"/>
      <c r="G993" s="28"/>
      <c r="H993" s="28"/>
      <c r="I993" s="28"/>
      <c r="J993" s="28"/>
      <c r="K993" s="36"/>
      <c r="L993" s="28"/>
      <c r="M993" s="28"/>
      <c r="N993" s="28"/>
      <c r="O993" s="28"/>
      <c r="P993" s="28"/>
      <c r="Q993" s="36"/>
      <c r="R993" s="36"/>
      <c r="S993" s="36"/>
      <c r="T993" s="36"/>
      <c r="U993" s="36"/>
      <c r="V993" s="36"/>
      <c r="W993" s="36"/>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c r="BD993" s="28"/>
      <c r="BE993" s="28"/>
      <c r="BF993" s="28"/>
      <c r="BG993" s="28"/>
      <c r="BH993" s="28"/>
      <c r="BI993" s="28"/>
      <c r="BJ993" s="28"/>
      <c r="BK993" s="28"/>
      <c r="BL993" s="28"/>
      <c r="BM993" s="28"/>
      <c r="BN993" s="28"/>
      <c r="BO993" s="28"/>
      <c r="BP993" s="28"/>
      <c r="BQ993" s="28"/>
      <c r="BR993" s="28"/>
      <c r="BS993" s="28"/>
      <c r="BT993" s="28"/>
      <c r="BU993" s="28"/>
      <c r="BV993" s="28"/>
      <c r="BW993" s="28"/>
      <c r="BX993" s="28"/>
      <c r="BY993" s="28"/>
      <c r="BZ993" s="28"/>
      <c r="CA993" s="28"/>
      <c r="CB993" s="28"/>
      <c r="CC993" s="28"/>
      <c r="CD993" s="28"/>
      <c r="CE993" s="28"/>
      <c r="CF993" s="28"/>
      <c r="CG993" s="28"/>
    </row>
    <row r="994" spans="1:85" ht="12.75" x14ac:dyDescent="0.2">
      <c r="A994" s="28"/>
      <c r="B994" s="28"/>
      <c r="C994" s="28"/>
      <c r="D994" s="28"/>
      <c r="E994" s="28"/>
      <c r="F994" s="28"/>
      <c r="G994" s="28"/>
      <c r="H994" s="28"/>
      <c r="I994" s="28"/>
      <c r="J994" s="28"/>
      <c r="K994" s="36"/>
      <c r="L994" s="28"/>
      <c r="M994" s="28"/>
      <c r="N994" s="28"/>
      <c r="O994" s="28"/>
      <c r="P994" s="28"/>
      <c r="Q994" s="36"/>
      <c r="R994" s="36"/>
      <c r="S994" s="36"/>
      <c r="T994" s="36"/>
      <c r="U994" s="36"/>
      <c r="V994" s="36"/>
      <c r="W994" s="36"/>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8"/>
      <c r="BW994" s="28"/>
      <c r="BX994" s="28"/>
      <c r="BY994" s="28"/>
      <c r="BZ994" s="28"/>
      <c r="CA994" s="28"/>
      <c r="CB994" s="28"/>
      <c r="CC994" s="28"/>
      <c r="CD994" s="28"/>
      <c r="CE994" s="28"/>
      <c r="CF994" s="28"/>
      <c r="CG994" s="28"/>
    </row>
    <row r="995" spans="1:85" ht="12.75" x14ac:dyDescent="0.2">
      <c r="A995" s="28"/>
      <c r="B995" s="28"/>
      <c r="C995" s="28"/>
      <c r="D995" s="28"/>
      <c r="E995" s="28"/>
      <c r="F995" s="28"/>
      <c r="G995" s="28"/>
      <c r="H995" s="28"/>
      <c r="I995" s="28"/>
      <c r="J995" s="28"/>
      <c r="K995" s="36"/>
      <c r="L995" s="28"/>
      <c r="M995" s="28"/>
      <c r="N995" s="28"/>
      <c r="O995" s="28"/>
      <c r="P995" s="28"/>
      <c r="Q995" s="36"/>
      <c r="R995" s="36"/>
      <c r="S995" s="36"/>
      <c r="T995" s="36"/>
      <c r="U995" s="36"/>
      <c r="V995" s="36"/>
      <c r="W995" s="36"/>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c r="BD995" s="28"/>
      <c r="BE995" s="28"/>
      <c r="BF995" s="28"/>
      <c r="BG995" s="28"/>
      <c r="BH995" s="28"/>
      <c r="BI995" s="28"/>
      <c r="BJ995" s="28"/>
      <c r="BK995" s="28"/>
      <c r="BL995" s="28"/>
      <c r="BM995" s="28"/>
      <c r="BN995" s="28"/>
      <c r="BO995" s="28"/>
      <c r="BP995" s="28"/>
      <c r="BQ995" s="28"/>
      <c r="BR995" s="28"/>
      <c r="BS995" s="28"/>
      <c r="BT995" s="28"/>
      <c r="BU995" s="28"/>
      <c r="BV995" s="28"/>
      <c r="BW995" s="28"/>
      <c r="BX995" s="28"/>
      <c r="BY995" s="28"/>
      <c r="BZ995" s="28"/>
      <c r="CA995" s="28"/>
      <c r="CB995" s="28"/>
      <c r="CC995" s="28"/>
      <c r="CD995" s="28"/>
      <c r="CE995" s="28"/>
      <c r="CF995" s="28"/>
      <c r="CG995" s="28"/>
    </row>
    <row r="996" spans="1:85" ht="12.75" x14ac:dyDescent="0.2">
      <c r="A996" s="28"/>
      <c r="B996" s="28"/>
      <c r="C996" s="28"/>
      <c r="D996" s="28"/>
      <c r="E996" s="28"/>
      <c r="F996" s="28"/>
      <c r="G996" s="28"/>
      <c r="H996" s="28"/>
      <c r="I996" s="28"/>
      <c r="J996" s="28"/>
      <c r="K996" s="36"/>
      <c r="L996" s="28"/>
      <c r="M996" s="28"/>
      <c r="N996" s="28"/>
      <c r="O996" s="28"/>
      <c r="P996" s="28"/>
      <c r="Q996" s="36"/>
      <c r="R996" s="36"/>
      <c r="S996" s="36"/>
      <c r="T996" s="36"/>
      <c r="U996" s="36"/>
      <c r="V996" s="36"/>
      <c r="W996" s="36"/>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8"/>
      <c r="BW996" s="28"/>
      <c r="BX996" s="28"/>
      <c r="BY996" s="28"/>
      <c r="BZ996" s="28"/>
      <c r="CA996" s="28"/>
      <c r="CB996" s="28"/>
      <c r="CC996" s="28"/>
      <c r="CD996" s="28"/>
      <c r="CE996" s="28"/>
      <c r="CF996" s="28"/>
      <c r="CG996" s="28"/>
    </row>
    <row r="997" spans="1:85" ht="12.75" x14ac:dyDescent="0.2">
      <c r="A997" s="28"/>
      <c r="B997" s="28"/>
      <c r="C997" s="28"/>
      <c r="D997" s="28"/>
      <c r="E997" s="28"/>
      <c r="F997" s="28"/>
      <c r="G997" s="28"/>
      <c r="H997" s="28"/>
      <c r="I997" s="28"/>
      <c r="J997" s="28"/>
      <c r="K997" s="36"/>
      <c r="L997" s="28"/>
      <c r="M997" s="28"/>
      <c r="N997" s="28"/>
      <c r="O997" s="28"/>
      <c r="P997" s="28"/>
      <c r="Q997" s="36"/>
      <c r="R997" s="36"/>
      <c r="S997" s="36"/>
      <c r="T997" s="36"/>
      <c r="U997" s="36"/>
      <c r="V997" s="36"/>
      <c r="W997" s="36"/>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c r="BD997" s="28"/>
      <c r="BE997" s="28"/>
      <c r="BF997" s="28"/>
      <c r="BG997" s="28"/>
      <c r="BH997" s="28"/>
      <c r="BI997" s="28"/>
      <c r="BJ997" s="28"/>
      <c r="BK997" s="28"/>
      <c r="BL997" s="28"/>
      <c r="BM997" s="28"/>
      <c r="BN997" s="28"/>
      <c r="BO997" s="28"/>
      <c r="BP997" s="28"/>
      <c r="BQ997" s="28"/>
      <c r="BR997" s="28"/>
      <c r="BS997" s="28"/>
      <c r="BT997" s="28"/>
      <c r="BU997" s="28"/>
      <c r="BV997" s="28"/>
      <c r="BW997" s="28"/>
      <c r="BX997" s="28"/>
      <c r="BY997" s="28"/>
      <c r="BZ997" s="28"/>
      <c r="CA997" s="28"/>
      <c r="CB997" s="28"/>
      <c r="CC997" s="28"/>
      <c r="CD997" s="28"/>
      <c r="CE997" s="28"/>
      <c r="CF997" s="28"/>
      <c r="CG997" s="28"/>
    </row>
    <row r="998" spans="1:85" ht="12.75" x14ac:dyDescent="0.2">
      <c r="A998" s="28"/>
      <c r="B998" s="28"/>
      <c r="C998" s="28"/>
      <c r="D998" s="28"/>
      <c r="E998" s="28"/>
      <c r="F998" s="28"/>
      <c r="G998" s="28"/>
      <c r="H998" s="28"/>
      <c r="I998" s="28"/>
      <c r="J998" s="28"/>
      <c r="K998" s="36"/>
      <c r="L998" s="28"/>
      <c r="M998" s="28"/>
      <c r="N998" s="28"/>
      <c r="O998" s="28"/>
      <c r="P998" s="28"/>
      <c r="Q998" s="36"/>
      <c r="R998" s="36"/>
      <c r="S998" s="36"/>
      <c r="T998" s="36"/>
      <c r="U998" s="36"/>
      <c r="V998" s="36"/>
      <c r="W998" s="36"/>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8"/>
      <c r="BW998" s="28"/>
      <c r="BX998" s="28"/>
      <c r="BY998" s="28"/>
      <c r="BZ998" s="28"/>
      <c r="CA998" s="28"/>
      <c r="CB998" s="28"/>
      <c r="CC998" s="28"/>
      <c r="CD998" s="28"/>
      <c r="CE998" s="28"/>
      <c r="CF998" s="28"/>
      <c r="CG998" s="28"/>
    </row>
    <row r="999" spans="1:85" ht="12.75" x14ac:dyDescent="0.2">
      <c r="A999" s="28"/>
      <c r="B999" s="28"/>
      <c r="C999" s="28"/>
      <c r="D999" s="28"/>
      <c r="E999" s="28"/>
      <c r="F999" s="28"/>
      <c r="G999" s="28"/>
      <c r="H999" s="28"/>
      <c r="I999" s="28"/>
      <c r="J999" s="28"/>
      <c r="K999" s="36"/>
      <c r="L999" s="28"/>
      <c r="M999" s="28"/>
      <c r="N999" s="28"/>
      <c r="O999" s="28"/>
      <c r="P999" s="28"/>
      <c r="Q999" s="36"/>
      <c r="R999" s="36"/>
      <c r="S999" s="36"/>
      <c r="T999" s="36"/>
      <c r="U999" s="36"/>
      <c r="V999" s="36"/>
      <c r="W999" s="36"/>
      <c r="X999" s="28"/>
      <c r="Y999" s="28"/>
      <c r="Z999" s="28"/>
      <c r="AA999" s="28"/>
      <c r="AB999" s="28"/>
      <c r="AC999" s="28"/>
      <c r="AD999" s="28"/>
      <c r="AE999" s="28"/>
      <c r="AF999" s="28"/>
      <c r="AG999" s="28"/>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c r="BD999" s="28"/>
      <c r="BE999" s="28"/>
      <c r="BF999" s="28"/>
      <c r="BG999" s="28"/>
      <c r="BH999" s="28"/>
      <c r="BI999" s="28"/>
      <c r="BJ999" s="28"/>
      <c r="BK999" s="28"/>
      <c r="BL999" s="28"/>
      <c r="BM999" s="28"/>
      <c r="BN999" s="28"/>
      <c r="BO999" s="28"/>
      <c r="BP999" s="28"/>
      <c r="BQ999" s="28"/>
      <c r="BR999" s="28"/>
      <c r="BS999" s="28"/>
      <c r="BT999" s="28"/>
      <c r="BU999" s="28"/>
      <c r="BV999" s="28"/>
      <c r="BW999" s="28"/>
      <c r="BX999" s="28"/>
      <c r="BY999" s="28"/>
      <c r="BZ999" s="28"/>
      <c r="CA999" s="28"/>
      <c r="CB999" s="28"/>
      <c r="CC999" s="28"/>
      <c r="CD999" s="28"/>
      <c r="CE999" s="28"/>
      <c r="CF999" s="28"/>
      <c r="CG999" s="28"/>
    </row>
    <row r="1000" spans="1:85" ht="12.75" x14ac:dyDescent="0.2">
      <c r="A1000" s="28"/>
      <c r="B1000" s="28"/>
      <c r="C1000" s="28"/>
      <c r="D1000" s="28"/>
      <c r="E1000" s="28"/>
      <c r="F1000" s="28"/>
      <c r="G1000" s="28"/>
      <c r="H1000" s="28"/>
      <c r="I1000" s="28"/>
      <c r="J1000" s="28"/>
      <c r="K1000" s="36"/>
      <c r="L1000" s="28"/>
      <c r="M1000" s="28"/>
      <c r="N1000" s="28"/>
      <c r="O1000" s="28"/>
      <c r="P1000" s="28"/>
      <c r="Q1000" s="36"/>
      <c r="R1000" s="36"/>
      <c r="S1000" s="36"/>
      <c r="T1000" s="36"/>
      <c r="U1000" s="36"/>
      <c r="V1000" s="36"/>
      <c r="W1000" s="36"/>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8"/>
      <c r="BW1000" s="28"/>
      <c r="BX1000" s="28"/>
      <c r="BY1000" s="28"/>
      <c r="BZ1000" s="28"/>
      <c r="CA1000" s="28"/>
      <c r="CB1000" s="28"/>
      <c r="CC1000" s="28"/>
      <c r="CD1000" s="28"/>
      <c r="CE1000" s="28"/>
      <c r="CF1000" s="28"/>
      <c r="CG1000" s="28"/>
    </row>
    <row r="1001" spans="1:85" ht="12.75" x14ac:dyDescent="0.2">
      <c r="A1001" s="28"/>
      <c r="B1001" s="28"/>
      <c r="C1001" s="28"/>
      <c r="D1001" s="28"/>
      <c r="E1001" s="28"/>
      <c r="F1001" s="28"/>
      <c r="G1001" s="28"/>
      <c r="H1001" s="28"/>
      <c r="I1001" s="28"/>
      <c r="J1001" s="28"/>
      <c r="K1001" s="36"/>
      <c r="L1001" s="28"/>
      <c r="M1001" s="28"/>
      <c r="N1001" s="28"/>
      <c r="O1001" s="28"/>
      <c r="P1001" s="28"/>
      <c r="Q1001" s="36"/>
      <c r="R1001" s="36"/>
      <c r="S1001" s="36"/>
      <c r="T1001" s="36"/>
      <c r="U1001" s="36"/>
      <c r="V1001" s="36"/>
      <c r="W1001" s="36"/>
      <c r="X1001" s="28"/>
      <c r="Y1001" s="28"/>
      <c r="Z1001" s="28"/>
      <c r="AA1001" s="28"/>
      <c r="AB1001" s="28"/>
      <c r="AC1001" s="28"/>
      <c r="AD1001" s="28"/>
      <c r="AE1001" s="28"/>
      <c r="AF1001" s="28"/>
      <c r="AG1001" s="28"/>
      <c r="AH1001" s="28"/>
      <c r="AI1001" s="28"/>
      <c r="AJ1001" s="28"/>
      <c r="AK1001" s="28"/>
      <c r="AL1001" s="28"/>
      <c r="AM1001" s="28"/>
      <c r="AN1001" s="28"/>
      <c r="AO1001" s="28"/>
      <c r="AP1001" s="28"/>
      <c r="AQ1001" s="28"/>
      <c r="AR1001" s="28"/>
      <c r="AS1001" s="28"/>
      <c r="AT1001" s="28"/>
      <c r="AU1001" s="28"/>
      <c r="AV1001" s="28"/>
      <c r="AW1001" s="28"/>
      <c r="AX1001" s="28"/>
      <c r="AY1001" s="28"/>
      <c r="AZ1001" s="28"/>
      <c r="BA1001" s="28"/>
      <c r="BB1001" s="28"/>
      <c r="BC1001" s="28"/>
      <c r="BD1001" s="28"/>
      <c r="BE1001" s="28"/>
      <c r="BF1001" s="28"/>
      <c r="BG1001" s="28"/>
      <c r="BH1001" s="28"/>
      <c r="BI1001" s="28"/>
      <c r="BJ1001" s="28"/>
      <c r="BK1001" s="28"/>
      <c r="BL1001" s="28"/>
      <c r="BM1001" s="28"/>
      <c r="BN1001" s="28"/>
      <c r="BO1001" s="28"/>
      <c r="BP1001" s="28"/>
      <c r="BQ1001" s="28"/>
      <c r="BR1001" s="28"/>
      <c r="BS1001" s="28"/>
      <c r="BT1001" s="28"/>
      <c r="BU1001" s="28"/>
      <c r="BV1001" s="28"/>
      <c r="BW1001" s="28"/>
      <c r="BX1001" s="28"/>
      <c r="BY1001" s="28"/>
      <c r="BZ1001" s="28"/>
      <c r="CA1001" s="28"/>
      <c r="CB1001" s="28"/>
      <c r="CC1001" s="28"/>
      <c r="CD1001" s="28"/>
      <c r="CE1001" s="28"/>
      <c r="CF1001" s="28"/>
      <c r="CG1001" s="28"/>
    </row>
    <row r="1002" spans="1:85" ht="12.75" x14ac:dyDescent="0.2">
      <c r="A1002" s="28"/>
      <c r="B1002" s="28"/>
      <c r="C1002" s="28"/>
      <c r="D1002" s="28"/>
      <c r="E1002" s="28"/>
      <c r="F1002" s="28"/>
      <c r="G1002" s="28"/>
      <c r="H1002" s="28"/>
      <c r="I1002" s="28"/>
      <c r="J1002" s="28"/>
      <c r="K1002" s="36"/>
      <c r="L1002" s="28"/>
      <c r="M1002" s="28"/>
      <c r="N1002" s="28"/>
      <c r="O1002" s="28"/>
      <c r="P1002" s="28"/>
      <c r="Q1002" s="36"/>
      <c r="R1002" s="36"/>
      <c r="S1002" s="36"/>
      <c r="T1002" s="36"/>
      <c r="U1002" s="36"/>
      <c r="V1002" s="36"/>
      <c r="W1002" s="36"/>
      <c r="X1002" s="28"/>
      <c r="Y1002" s="28"/>
      <c r="Z1002" s="28"/>
      <c r="AA1002" s="28"/>
      <c r="AB1002" s="28"/>
      <c r="AC1002" s="28"/>
      <c r="AD1002" s="28"/>
      <c r="AE1002" s="28"/>
      <c r="AF1002" s="28"/>
      <c r="AG1002" s="28"/>
      <c r="AH1002" s="28"/>
      <c r="AI1002" s="28"/>
      <c r="AJ1002" s="28"/>
      <c r="AK1002" s="28"/>
      <c r="AL1002" s="28"/>
      <c r="AM1002" s="28"/>
      <c r="AN1002" s="28"/>
      <c r="AO1002" s="28"/>
      <c r="AP1002" s="28"/>
      <c r="AQ1002" s="28"/>
      <c r="AR1002" s="28"/>
      <c r="AS1002" s="28"/>
      <c r="AT1002" s="28"/>
      <c r="AU1002" s="28"/>
      <c r="AV1002" s="28"/>
      <c r="AW1002" s="28"/>
      <c r="AX1002" s="28"/>
      <c r="AY1002" s="28"/>
      <c r="AZ1002" s="28"/>
      <c r="BA1002" s="28"/>
      <c r="BB1002" s="28"/>
      <c r="BC1002" s="28"/>
      <c r="BD1002" s="28"/>
      <c r="BE1002" s="28"/>
      <c r="BF1002" s="28"/>
      <c r="BG1002" s="28"/>
      <c r="BH1002" s="28"/>
      <c r="BI1002" s="28"/>
      <c r="BJ1002" s="28"/>
      <c r="BK1002" s="28"/>
      <c r="BL1002" s="28"/>
      <c r="BM1002" s="28"/>
      <c r="BN1002" s="28"/>
      <c r="BO1002" s="28"/>
      <c r="BP1002" s="28"/>
      <c r="BQ1002" s="28"/>
      <c r="BR1002" s="28"/>
      <c r="BS1002" s="28"/>
      <c r="BT1002" s="28"/>
      <c r="BU1002" s="28"/>
      <c r="BV1002" s="28"/>
      <c r="BW1002" s="28"/>
      <c r="BX1002" s="28"/>
      <c r="BY1002" s="28"/>
      <c r="BZ1002" s="28"/>
      <c r="CA1002" s="28"/>
      <c r="CB1002" s="28"/>
      <c r="CC1002" s="28"/>
      <c r="CD1002" s="28"/>
      <c r="CE1002" s="28"/>
      <c r="CF1002" s="28"/>
      <c r="CG1002" s="28"/>
    </row>
  </sheetData>
  <autoFilter ref="A1:CG1002" xr:uid="{00000000-0009-0000-0000-000001000000}"/>
  <conditionalFormatting sqref="D1:D1002">
    <cfRule type="containsText" dxfId="0" priority="1" operator="containsText" text="Ms">
      <formula>NOT(ISERROR(SEARCH(("Ms"),(D1))))</formula>
    </cfRule>
  </conditionalFormatting>
  <hyperlinks>
    <hyperlink ref="Y2" r:id="rId1" xr:uid="{00000000-0004-0000-0100-000000000000}"/>
    <hyperlink ref="N5" r:id="rId2" xr:uid="{00000000-0004-0000-0100-000001000000}"/>
    <hyperlink ref="Y5" r:id="rId3" xr:uid="{00000000-0004-0000-0100-000002000000}"/>
    <hyperlink ref="Y7" r:id="rId4" xr:uid="{00000000-0004-0000-0100-000003000000}"/>
    <hyperlink ref="Y10" r:id="rId5" xr:uid="{00000000-0004-0000-0100-000004000000}"/>
    <hyperlink ref="X11" r:id="rId6" xr:uid="{00000000-0004-0000-0100-000005000000}"/>
    <hyperlink ref="X12" r:id="rId7" xr:uid="{00000000-0004-0000-0100-000006000000}"/>
    <hyperlink ref="AO13" r:id="rId8" xr:uid="{00000000-0004-0000-0100-000007000000}"/>
    <hyperlink ref="AO14" r:id="rId9" xr:uid="{00000000-0004-0000-0100-000008000000}"/>
    <hyperlink ref="W15" r:id="rId10" xr:uid="{00000000-0004-0000-0100-000009000000}"/>
    <hyperlink ref="Y15" r:id="rId11" xr:uid="{00000000-0004-0000-0100-00000A000000}"/>
    <hyperlink ref="N16" r:id="rId12" xr:uid="{00000000-0004-0000-0100-00000B000000}"/>
    <hyperlink ref="Y16" r:id="rId13" xr:uid="{00000000-0004-0000-0100-00000C000000}"/>
    <hyperlink ref="N17" r:id="rId14" xr:uid="{00000000-0004-0000-0100-00000D000000}"/>
    <hyperlink ref="X17" r:id="rId15" xr:uid="{00000000-0004-0000-0100-00000E000000}"/>
    <hyperlink ref="Y18" r:id="rId16" xr:uid="{00000000-0004-0000-0100-00000F000000}"/>
    <hyperlink ref="N19" r:id="rId17" xr:uid="{00000000-0004-0000-0100-000010000000}"/>
    <hyperlink ref="X19" r:id="rId18" xr:uid="{00000000-0004-0000-0100-000011000000}"/>
    <hyperlink ref="Y19" r:id="rId19" xr:uid="{00000000-0004-0000-0100-000012000000}"/>
    <hyperlink ref="Z22" r:id="rId20" xr:uid="{00000000-0004-0000-0100-000013000000}"/>
    <hyperlink ref="R23" r:id="rId21" xr:uid="{00000000-0004-0000-0100-000014000000}"/>
    <hyperlink ref="Y23" r:id="rId22" xr:uid="{00000000-0004-0000-0100-000015000000}"/>
    <hyperlink ref="X24" r:id="rId23" xr:uid="{00000000-0004-0000-0100-000016000000}"/>
    <hyperlink ref="Y24" r:id="rId24" xr:uid="{00000000-0004-0000-0100-000017000000}"/>
    <hyperlink ref="R25" r:id="rId25" xr:uid="{00000000-0004-0000-0100-000018000000}"/>
    <hyperlink ref="X25" r:id="rId26" xr:uid="{00000000-0004-0000-0100-000019000000}"/>
    <hyperlink ref="W26" r:id="rId27" xr:uid="{00000000-0004-0000-0100-00001A000000}"/>
    <hyperlink ref="Y26" r:id="rId28" xr:uid="{00000000-0004-0000-0100-00001B000000}"/>
    <hyperlink ref="R27" r:id="rId29" xr:uid="{00000000-0004-0000-0100-00001C000000}"/>
    <hyperlink ref="X28" r:id="rId30" xr:uid="{00000000-0004-0000-0100-00001D000000}"/>
    <hyperlink ref="AO28" r:id="rId31" xr:uid="{00000000-0004-0000-0100-00001E000000}"/>
    <hyperlink ref="X31" r:id="rId32" xr:uid="{00000000-0004-0000-0100-00001F000000}"/>
    <hyperlink ref="Y31" r:id="rId33" xr:uid="{00000000-0004-0000-0100-000020000000}"/>
    <hyperlink ref="N32" r:id="rId34" xr:uid="{00000000-0004-0000-0100-000021000000}"/>
    <hyperlink ref="AA32" r:id="rId35" xr:uid="{00000000-0004-0000-0100-000022000000}"/>
    <hyperlink ref="Y34" r:id="rId36" xr:uid="{00000000-0004-0000-0100-000023000000}"/>
    <hyperlink ref="L35" r:id="rId37" xr:uid="{00000000-0004-0000-0100-000024000000}"/>
    <hyperlink ref="X35" r:id="rId38" xr:uid="{00000000-0004-0000-0100-000025000000}"/>
    <hyperlink ref="Y35" r:id="rId39" xr:uid="{00000000-0004-0000-0100-000026000000}"/>
    <hyperlink ref="AO35" r:id="rId40" xr:uid="{00000000-0004-0000-0100-000027000000}"/>
    <hyperlink ref="CA35" r:id="rId41" xr:uid="{00000000-0004-0000-0100-000028000000}"/>
    <hyperlink ref="X36" r:id="rId42" xr:uid="{00000000-0004-0000-0100-000029000000}"/>
    <hyperlink ref="N37" r:id="rId43" xr:uid="{00000000-0004-0000-0100-00002A000000}"/>
    <hyperlink ref="Y37" r:id="rId44" xr:uid="{00000000-0004-0000-0100-00002B000000}"/>
    <hyperlink ref="AA37" r:id="rId45" xr:uid="{00000000-0004-0000-0100-00002C000000}"/>
    <hyperlink ref="AN37" r:id="rId46" xr:uid="{00000000-0004-0000-0100-00002D000000}"/>
    <hyperlink ref="X38" r:id="rId47" xr:uid="{00000000-0004-0000-0100-00002E000000}"/>
    <hyperlink ref="Y38" r:id="rId48" xr:uid="{00000000-0004-0000-0100-00002F000000}"/>
    <hyperlink ref="X41" r:id="rId49" xr:uid="{00000000-0004-0000-0100-000030000000}"/>
    <hyperlink ref="X42" r:id="rId50" xr:uid="{00000000-0004-0000-0100-000031000000}"/>
    <hyperlink ref="AA42" r:id="rId51" xr:uid="{00000000-0004-0000-0100-000032000000}"/>
    <hyperlink ref="N43" r:id="rId52" xr:uid="{00000000-0004-0000-0100-000033000000}"/>
    <hyperlink ref="X43" r:id="rId53" xr:uid="{00000000-0004-0000-0100-000034000000}"/>
    <hyperlink ref="X44" r:id="rId54" xr:uid="{00000000-0004-0000-0100-000035000000}"/>
    <hyperlink ref="Y45" r:id="rId55" xr:uid="{00000000-0004-0000-0100-000036000000}"/>
    <hyperlink ref="X47" r:id="rId56" xr:uid="{00000000-0004-0000-0100-000037000000}"/>
    <hyperlink ref="AA47" r:id="rId57" xr:uid="{00000000-0004-0000-0100-000038000000}"/>
    <hyperlink ref="X49" r:id="rId58" xr:uid="{00000000-0004-0000-0100-000039000000}"/>
    <hyperlink ref="X50" r:id="rId59" xr:uid="{00000000-0004-0000-0100-00003A000000}"/>
    <hyperlink ref="AN50" r:id="rId60" xr:uid="{00000000-0004-0000-0100-00003B000000}"/>
    <hyperlink ref="R52" r:id="rId61" xr:uid="{00000000-0004-0000-0100-00003C000000}"/>
    <hyperlink ref="X52" r:id="rId62" xr:uid="{00000000-0004-0000-0100-00003D000000}"/>
    <hyperlink ref="Y52" r:id="rId63" xr:uid="{00000000-0004-0000-0100-00003E000000}"/>
    <hyperlink ref="AB52" r:id="rId64" xr:uid="{00000000-0004-0000-0100-00003F000000}"/>
    <hyperlink ref="AA53" r:id="rId65" xr:uid="{00000000-0004-0000-0100-000040000000}"/>
    <hyperlink ref="X54" r:id="rId66" xr:uid="{00000000-0004-0000-0100-000041000000}"/>
    <hyperlink ref="AA54" r:id="rId67" xr:uid="{00000000-0004-0000-0100-000042000000}"/>
    <hyperlink ref="Y56" r:id="rId68" xr:uid="{00000000-0004-0000-0100-000043000000}"/>
    <hyperlink ref="X57" r:id="rId69" xr:uid="{00000000-0004-0000-0100-000044000000}"/>
    <hyperlink ref="L59" r:id="rId70" xr:uid="{00000000-0004-0000-0100-000045000000}"/>
    <hyperlink ref="X59" r:id="rId71" xr:uid="{00000000-0004-0000-0100-000046000000}"/>
    <hyperlink ref="Y59" r:id="rId72" xr:uid="{00000000-0004-0000-0100-000047000000}"/>
    <hyperlink ref="CA59" r:id="rId73" xr:uid="{00000000-0004-0000-0100-000048000000}"/>
    <hyperlink ref="X60" r:id="rId74" xr:uid="{00000000-0004-0000-0100-000049000000}"/>
    <hyperlink ref="Y60" r:id="rId75" xr:uid="{00000000-0004-0000-0100-00004A000000}"/>
    <hyperlink ref="AA60" r:id="rId76" xr:uid="{00000000-0004-0000-0100-00004B000000}"/>
    <hyperlink ref="L61" r:id="rId77" xr:uid="{00000000-0004-0000-0100-00004C000000}"/>
    <hyperlink ref="X61" r:id="rId78" xr:uid="{00000000-0004-0000-0100-00004D000000}"/>
    <hyperlink ref="CA61" r:id="rId79" xr:uid="{00000000-0004-0000-0100-00004E000000}"/>
    <hyperlink ref="X62" r:id="rId80" xr:uid="{00000000-0004-0000-0100-00004F000000}"/>
    <hyperlink ref="AA62" r:id="rId81" xr:uid="{00000000-0004-0000-0100-000050000000}"/>
    <hyperlink ref="BZ62" r:id="rId82" xr:uid="{00000000-0004-0000-0100-000051000000}"/>
    <hyperlink ref="L63" r:id="rId83" xr:uid="{00000000-0004-0000-0100-000052000000}"/>
    <hyperlink ref="AA63" r:id="rId84" xr:uid="{00000000-0004-0000-0100-000053000000}"/>
    <hyperlink ref="AO63" r:id="rId85" xr:uid="{00000000-0004-0000-0100-000054000000}"/>
    <hyperlink ref="CA63" r:id="rId86" xr:uid="{00000000-0004-0000-0100-000055000000}"/>
    <hyperlink ref="X64" r:id="rId87" xr:uid="{00000000-0004-0000-0100-000056000000}"/>
    <hyperlink ref="AA64" r:id="rId88" xr:uid="{00000000-0004-0000-0100-000057000000}"/>
    <hyperlink ref="X65" r:id="rId89" xr:uid="{00000000-0004-0000-0100-000058000000}"/>
    <hyperlink ref="AA65" r:id="rId90" xr:uid="{00000000-0004-0000-0100-000059000000}"/>
    <hyperlink ref="R67" r:id="rId91" xr:uid="{00000000-0004-0000-0100-00005A000000}"/>
    <hyperlink ref="X68" r:id="rId92" xr:uid="{00000000-0004-0000-0100-00005B000000}"/>
    <hyperlink ref="X69" r:id="rId93" xr:uid="{00000000-0004-0000-0100-00005C000000}"/>
    <hyperlink ref="Y69" r:id="rId94" xr:uid="{00000000-0004-0000-0100-00005D000000}"/>
    <hyperlink ref="L70" r:id="rId95" xr:uid="{00000000-0004-0000-0100-00005E000000}"/>
    <hyperlink ref="X70" r:id="rId96" xr:uid="{00000000-0004-0000-0100-00005F000000}"/>
    <hyperlink ref="AA70" r:id="rId97" xr:uid="{00000000-0004-0000-0100-000060000000}"/>
    <hyperlink ref="CA70" r:id="rId98" xr:uid="{00000000-0004-0000-0100-000061000000}"/>
    <hyperlink ref="X71" r:id="rId99" xr:uid="{00000000-0004-0000-0100-000062000000}"/>
    <hyperlink ref="X72" r:id="rId100" xr:uid="{00000000-0004-0000-0100-000063000000}"/>
    <hyperlink ref="X73" r:id="rId101" xr:uid="{00000000-0004-0000-0100-000064000000}"/>
    <hyperlink ref="Y73" r:id="rId102" xr:uid="{00000000-0004-0000-0100-000065000000}"/>
    <hyperlink ref="BW73" r:id="rId103" xr:uid="{00000000-0004-0000-0100-000066000000}"/>
    <hyperlink ref="X74" r:id="rId104" xr:uid="{00000000-0004-0000-0100-000067000000}"/>
    <hyperlink ref="Y74" r:id="rId105" xr:uid="{00000000-0004-0000-0100-000068000000}"/>
    <hyperlink ref="AA74" r:id="rId106" xr:uid="{00000000-0004-0000-0100-000069000000}"/>
    <hyperlink ref="L75" r:id="rId107" xr:uid="{00000000-0004-0000-0100-00006A000000}"/>
    <hyperlink ref="X75" r:id="rId108" xr:uid="{00000000-0004-0000-0100-00006B000000}"/>
    <hyperlink ref="AA75" r:id="rId109" xr:uid="{00000000-0004-0000-0100-00006C000000}"/>
    <hyperlink ref="CA75" r:id="rId110" xr:uid="{00000000-0004-0000-0100-00006D000000}"/>
    <hyperlink ref="X76" r:id="rId111" xr:uid="{00000000-0004-0000-0100-00006E000000}"/>
    <hyperlink ref="Y76" r:id="rId112" xr:uid="{00000000-0004-0000-0100-00006F000000}"/>
    <hyperlink ref="AA76" r:id="rId113" xr:uid="{00000000-0004-0000-0100-000070000000}"/>
    <hyperlink ref="N77" r:id="rId114" xr:uid="{00000000-0004-0000-0100-000071000000}"/>
    <hyperlink ref="P77" r:id="rId115" xr:uid="{00000000-0004-0000-0100-000072000000}"/>
    <hyperlink ref="X77" r:id="rId116" xr:uid="{00000000-0004-0000-0100-000073000000}"/>
    <hyperlink ref="AA77" r:id="rId117" xr:uid="{00000000-0004-0000-0100-000074000000}"/>
    <hyperlink ref="X78" r:id="rId118" xr:uid="{00000000-0004-0000-0100-000075000000}"/>
    <hyperlink ref="AA78" r:id="rId119" xr:uid="{00000000-0004-0000-0100-000076000000}"/>
    <hyperlink ref="R79" r:id="rId120" xr:uid="{00000000-0004-0000-0100-000077000000}"/>
    <hyperlink ref="Y79" r:id="rId121" xr:uid="{00000000-0004-0000-0100-000078000000}"/>
    <hyperlink ref="AA79" r:id="rId122" xr:uid="{00000000-0004-0000-0100-000079000000}"/>
    <hyperlink ref="AO80" r:id="rId123" xr:uid="{00000000-0004-0000-0100-00007A000000}"/>
    <hyperlink ref="X81" r:id="rId124" xr:uid="{00000000-0004-0000-0100-00007B000000}"/>
    <hyperlink ref="Y81" r:id="rId125" xr:uid="{00000000-0004-0000-0100-00007C000000}"/>
    <hyperlink ref="Z81" r:id="rId126" xr:uid="{00000000-0004-0000-0100-00007D000000}"/>
    <hyperlink ref="AA81" r:id="rId127" xr:uid="{00000000-0004-0000-0100-00007E000000}"/>
    <hyperlink ref="X82" r:id="rId128" xr:uid="{00000000-0004-0000-0100-00007F000000}"/>
    <hyperlink ref="AA82" r:id="rId129" xr:uid="{00000000-0004-0000-0100-000080000000}"/>
    <hyperlink ref="AO82" r:id="rId130" xr:uid="{00000000-0004-0000-0100-000081000000}"/>
    <hyperlink ref="X83" r:id="rId131" xr:uid="{00000000-0004-0000-0100-000082000000}"/>
    <hyperlink ref="AO83" r:id="rId132" xr:uid="{00000000-0004-0000-0100-000083000000}"/>
    <hyperlink ref="X84" r:id="rId133" xr:uid="{00000000-0004-0000-0100-000084000000}"/>
    <hyperlink ref="AA84" r:id="rId134" xr:uid="{00000000-0004-0000-0100-000085000000}"/>
    <hyperlink ref="X85" r:id="rId135" xr:uid="{00000000-0004-0000-0100-000086000000}"/>
    <hyperlink ref="X86" r:id="rId136" xr:uid="{00000000-0004-0000-0100-000087000000}"/>
    <hyperlink ref="X87" r:id="rId137" xr:uid="{00000000-0004-0000-0100-000088000000}"/>
    <hyperlink ref="X88" r:id="rId138" xr:uid="{00000000-0004-0000-0100-000089000000}"/>
    <hyperlink ref="AA88" r:id="rId139" xr:uid="{00000000-0004-0000-0100-00008A000000}"/>
    <hyperlink ref="AO88" r:id="rId140" xr:uid="{00000000-0004-0000-0100-00008B000000}"/>
    <hyperlink ref="X89" r:id="rId141" xr:uid="{00000000-0004-0000-0100-00008C000000}"/>
    <hyperlink ref="R90" r:id="rId142" xr:uid="{00000000-0004-0000-0100-00008D000000}"/>
    <hyperlink ref="AA91" r:id="rId143" xr:uid="{00000000-0004-0000-0100-00008E000000}"/>
    <hyperlink ref="X92" r:id="rId144" xr:uid="{00000000-0004-0000-0100-00008F000000}"/>
    <hyperlink ref="Y94" r:id="rId145" xr:uid="{00000000-0004-0000-0100-000090000000}"/>
    <hyperlink ref="Y95" r:id="rId146" xr:uid="{00000000-0004-0000-0100-000091000000}"/>
    <hyperlink ref="AA95" r:id="rId147" xr:uid="{00000000-0004-0000-0100-000092000000}"/>
    <hyperlink ref="X96" r:id="rId148" xr:uid="{00000000-0004-0000-0100-000093000000}"/>
    <hyperlink ref="AA96" r:id="rId149" xr:uid="{00000000-0004-0000-0100-000094000000}"/>
    <hyperlink ref="X97" r:id="rId150" xr:uid="{00000000-0004-0000-0100-000095000000}"/>
    <hyperlink ref="AA97" r:id="rId151" xr:uid="{00000000-0004-0000-0100-000096000000}"/>
    <hyperlink ref="AA98" r:id="rId152" xr:uid="{00000000-0004-0000-0100-000097000000}"/>
    <hyperlink ref="AA99" r:id="rId153" xr:uid="{00000000-0004-0000-0100-000098000000}"/>
    <hyperlink ref="AA100" r:id="rId154" xr:uid="{00000000-0004-0000-0100-000099000000}"/>
    <hyperlink ref="R101" r:id="rId155" xr:uid="{00000000-0004-0000-0100-00009A000000}"/>
    <hyperlink ref="X101" r:id="rId156" xr:uid="{00000000-0004-0000-0100-00009B000000}"/>
    <hyperlink ref="Y101" r:id="rId157" xr:uid="{00000000-0004-0000-0100-00009C000000}"/>
    <hyperlink ref="Z101" r:id="rId158" xr:uid="{00000000-0004-0000-0100-00009D000000}"/>
    <hyperlink ref="AA101" r:id="rId159" xr:uid="{00000000-0004-0000-0100-00009E000000}"/>
    <hyperlink ref="X102" r:id="rId160" xr:uid="{00000000-0004-0000-0100-00009F000000}"/>
    <hyperlink ref="X103" r:id="rId161" xr:uid="{00000000-0004-0000-0100-0000A0000000}"/>
    <hyperlink ref="AA103" r:id="rId162" xr:uid="{00000000-0004-0000-0100-0000A1000000}"/>
    <hyperlink ref="AA104" r:id="rId163" xr:uid="{00000000-0004-0000-0100-0000A2000000}"/>
    <hyperlink ref="X105" r:id="rId164" xr:uid="{00000000-0004-0000-0100-0000A3000000}"/>
    <hyperlink ref="AA106" r:id="rId165" xr:uid="{00000000-0004-0000-0100-0000A4000000}"/>
    <hyperlink ref="AA107" r:id="rId166" xr:uid="{00000000-0004-0000-0100-0000A5000000}"/>
    <hyperlink ref="Y108" r:id="rId167" xr:uid="{00000000-0004-0000-0100-0000A6000000}"/>
    <hyperlink ref="X109" r:id="rId168" xr:uid="{00000000-0004-0000-0100-0000A7000000}"/>
    <hyperlink ref="AA109" r:id="rId169" xr:uid="{00000000-0004-0000-0100-0000A8000000}"/>
    <hyperlink ref="X110" r:id="rId170" xr:uid="{00000000-0004-0000-0100-0000A9000000}"/>
    <hyperlink ref="AA110" r:id="rId171" xr:uid="{00000000-0004-0000-0100-0000AA000000}"/>
    <hyperlink ref="W111" r:id="rId172" xr:uid="{00000000-0004-0000-0100-0000AB000000}"/>
    <hyperlink ref="X111" r:id="rId173" xr:uid="{00000000-0004-0000-0100-0000AC000000}"/>
    <hyperlink ref="Z111" r:id="rId174" xr:uid="{00000000-0004-0000-0100-0000AD000000}"/>
    <hyperlink ref="AA111" r:id="rId175" xr:uid="{00000000-0004-0000-0100-0000AE000000}"/>
    <hyperlink ref="X112" r:id="rId176" xr:uid="{00000000-0004-0000-0100-0000AF000000}"/>
    <hyperlink ref="Y112" r:id="rId177" xr:uid="{00000000-0004-0000-0100-0000B0000000}"/>
    <hyperlink ref="AA112" r:id="rId178" xr:uid="{00000000-0004-0000-0100-0000B1000000}"/>
    <hyperlink ref="N122" r:id="rId179" xr:uid="{00000000-0004-0000-0100-0000B2000000}"/>
    <hyperlink ref="X122" r:id="rId180" xr:uid="{00000000-0004-0000-0100-0000B3000000}"/>
    <hyperlink ref="Y123" r:id="rId181" xr:uid="{00000000-0004-0000-0100-0000B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6"/>
  <sheetViews>
    <sheetView tabSelected="1" workbookViewId="0">
      <selection activeCell="I17" sqref="I17"/>
    </sheetView>
  </sheetViews>
  <sheetFormatPr defaultColWidth="12.5703125" defaultRowHeight="15.75" customHeight="1" x14ac:dyDescent="0.2"/>
  <cols>
    <col min="2" max="2" width="25.5703125" customWidth="1"/>
    <col min="4" max="4" width="38.140625" customWidth="1"/>
  </cols>
  <sheetData>
    <row r="1" spans="1:8" x14ac:dyDescent="0.2">
      <c r="A1" s="146" t="s">
        <v>2574</v>
      </c>
      <c r="B1" s="146" t="s">
        <v>2575</v>
      </c>
      <c r="C1" s="146" t="s">
        <v>2576</v>
      </c>
    </row>
    <row r="2" spans="1:8" x14ac:dyDescent="0.2">
      <c r="A2" s="99" t="s">
        <v>347</v>
      </c>
      <c r="B2" s="147" t="s">
        <v>2577</v>
      </c>
      <c r="C2" s="99" t="s">
        <v>2578</v>
      </c>
      <c r="D2" s="99" t="s">
        <v>2579</v>
      </c>
      <c r="E2" s="99" t="s">
        <v>2580</v>
      </c>
      <c r="F2" s="99" t="s">
        <v>2581</v>
      </c>
      <c r="G2" s="99" t="s">
        <v>2582</v>
      </c>
      <c r="H2" s="99" t="s">
        <v>2583</v>
      </c>
    </row>
    <row r="3" spans="1:8" x14ac:dyDescent="0.2">
      <c r="A3" s="99" t="s">
        <v>347</v>
      </c>
      <c r="B3" s="147" t="s">
        <v>2584</v>
      </c>
      <c r="C3" s="99" t="s">
        <v>2585</v>
      </c>
      <c r="D3" s="99" t="s">
        <v>2586</v>
      </c>
    </row>
    <row r="4" spans="1:8" x14ac:dyDescent="0.2">
      <c r="A4" s="99" t="s">
        <v>258</v>
      </c>
      <c r="B4" s="99" t="s">
        <v>2587</v>
      </c>
      <c r="C4" s="99" t="s">
        <v>2588</v>
      </c>
      <c r="D4" s="99" t="s">
        <v>2589</v>
      </c>
      <c r="E4" s="99" t="s">
        <v>2590</v>
      </c>
      <c r="F4" s="99" t="s">
        <v>2591</v>
      </c>
    </row>
    <row r="5" spans="1:8" x14ac:dyDescent="0.2">
      <c r="A5" s="99" t="s">
        <v>408</v>
      </c>
      <c r="B5" s="99" t="s">
        <v>2592</v>
      </c>
      <c r="C5" s="99" t="s">
        <v>2593</v>
      </c>
      <c r="D5" s="99" t="s">
        <v>2594</v>
      </c>
      <c r="E5" s="99" t="s">
        <v>2595</v>
      </c>
      <c r="F5" s="99" t="s">
        <v>2596</v>
      </c>
    </row>
    <row r="6" spans="1:8" x14ac:dyDescent="0.2">
      <c r="A6" s="99" t="s">
        <v>860</v>
      </c>
      <c r="B6" s="99" t="s">
        <v>2597</v>
      </c>
      <c r="C6" s="99" t="s">
        <v>2598</v>
      </c>
      <c r="D6" s="99" t="s">
        <v>2599</v>
      </c>
      <c r="E6" s="99" t="s">
        <v>2600</v>
      </c>
      <c r="F6" s="99" t="s">
        <v>2601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7"/>
  <sheetViews>
    <sheetView workbookViewId="0">
      <selection activeCell="G26" sqref="G26"/>
    </sheetView>
  </sheetViews>
  <sheetFormatPr defaultColWidth="12.5703125" defaultRowHeight="15.75" customHeight="1" x14ac:dyDescent="0.2"/>
  <cols>
    <col min="3" max="3" width="17.140625" customWidth="1"/>
    <col min="4" max="4" width="15.28515625" customWidth="1"/>
    <col min="5" max="5" width="20.42578125" customWidth="1"/>
    <col min="9" max="9" width="33.28515625" customWidth="1"/>
  </cols>
  <sheetData>
    <row r="1" spans="1:9" x14ac:dyDescent="0.2">
      <c r="A1" s="146" t="s">
        <v>2574</v>
      </c>
      <c r="B1" s="146" t="s">
        <v>2575</v>
      </c>
      <c r="C1" s="146" t="s">
        <v>2602</v>
      </c>
      <c r="D1" s="146" t="s">
        <v>2603</v>
      </c>
      <c r="E1" s="146" t="s">
        <v>2604</v>
      </c>
      <c r="F1" s="146" t="s">
        <v>55</v>
      </c>
      <c r="G1" s="148" t="s">
        <v>56</v>
      </c>
      <c r="H1" s="146" t="s">
        <v>2605</v>
      </c>
      <c r="I1" s="149" t="s">
        <v>2606</v>
      </c>
    </row>
    <row r="2" spans="1:9" x14ac:dyDescent="0.2">
      <c r="A2" s="99" t="s">
        <v>116</v>
      </c>
      <c r="B2" s="150" t="s">
        <v>2607</v>
      </c>
      <c r="C2" s="151">
        <v>46045.030876655088</v>
      </c>
      <c r="D2" s="150" t="s">
        <v>2608</v>
      </c>
      <c r="E2" s="147" t="s">
        <v>2609</v>
      </c>
      <c r="F2" s="152">
        <v>908556220</v>
      </c>
      <c r="G2" s="150" t="s">
        <v>2610</v>
      </c>
      <c r="H2" s="150" t="s">
        <v>2611</v>
      </c>
      <c r="I2" s="150" t="s">
        <v>2612</v>
      </c>
    </row>
    <row r="3" spans="1:9" x14ac:dyDescent="0.2">
      <c r="A3" s="99" t="s">
        <v>116</v>
      </c>
      <c r="B3" s="147" t="s">
        <v>2613</v>
      </c>
      <c r="C3" s="153">
        <v>1773331619753</v>
      </c>
      <c r="D3" s="99" t="s">
        <v>2614</v>
      </c>
      <c r="E3" s="99" t="s">
        <v>2615</v>
      </c>
      <c r="F3" s="99">
        <v>12</v>
      </c>
      <c r="G3" s="99" t="s">
        <v>1784</v>
      </c>
      <c r="H3" s="99" t="s">
        <v>2616</v>
      </c>
      <c r="I3" s="99" t="s">
        <v>2617</v>
      </c>
    </row>
    <row r="4" spans="1:9" x14ac:dyDescent="0.2">
      <c r="A4" s="99" t="s">
        <v>116</v>
      </c>
      <c r="B4" s="99" t="s">
        <v>2618</v>
      </c>
      <c r="C4" s="154">
        <v>46094.444754837961</v>
      </c>
      <c r="D4" s="99" t="s">
        <v>2614</v>
      </c>
      <c r="E4" s="99" t="s">
        <v>2615</v>
      </c>
      <c r="F4" s="99">
        <v>12</v>
      </c>
      <c r="G4" s="99" t="s">
        <v>1784</v>
      </c>
      <c r="H4" s="99" t="s">
        <v>2616</v>
      </c>
      <c r="I4" s="99" t="s">
        <v>2196</v>
      </c>
    </row>
    <row r="5" spans="1:9" x14ac:dyDescent="0.2">
      <c r="A5" s="99" t="s">
        <v>1182</v>
      </c>
      <c r="B5" s="99" t="s">
        <v>2619</v>
      </c>
      <c r="C5" s="154">
        <v>46101.941610624999</v>
      </c>
      <c r="D5" s="99" t="s">
        <v>2620</v>
      </c>
      <c r="E5" s="99" t="s">
        <v>2621</v>
      </c>
      <c r="F5" s="99">
        <v>907791199</v>
      </c>
      <c r="H5" s="99" t="s">
        <v>2622</v>
      </c>
      <c r="I5" s="99" t="s">
        <v>2623</v>
      </c>
    </row>
    <row r="6" spans="1:9" x14ac:dyDescent="0.2">
      <c r="A6" s="99" t="s">
        <v>1182</v>
      </c>
      <c r="B6" s="99" t="s">
        <v>2619</v>
      </c>
      <c r="C6" s="154">
        <v>46101.941925914347</v>
      </c>
      <c r="D6" s="99" t="s">
        <v>2620</v>
      </c>
      <c r="E6" s="99" t="s">
        <v>2621</v>
      </c>
      <c r="F6" s="99">
        <v>907791199</v>
      </c>
      <c r="H6" s="99" t="s">
        <v>2622</v>
      </c>
      <c r="I6" s="99" t="s">
        <v>2623</v>
      </c>
    </row>
    <row r="7" spans="1:9" x14ac:dyDescent="0.2">
      <c r="A7" s="99" t="s">
        <v>258</v>
      </c>
      <c r="B7" s="99" t="s">
        <v>2624</v>
      </c>
      <c r="C7" s="154">
        <v>46103.903172916667</v>
      </c>
      <c r="D7" s="99" t="s">
        <v>2625</v>
      </c>
      <c r="E7" s="99" t="s">
        <v>2626</v>
      </c>
      <c r="F7" s="99">
        <v>3</v>
      </c>
      <c r="G7" s="99" t="s">
        <v>2610</v>
      </c>
      <c r="H7" s="99" t="s">
        <v>2627</v>
      </c>
      <c r="I7" s="99" t="s">
        <v>2628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Configs</vt:lpstr>
      <vt:lpstr>Members</vt:lpstr>
      <vt:lpstr>Chat-Data</vt:lpstr>
      <vt:lpstr>Form-Data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Hoang</dc:creator>
  <cp:lastModifiedBy>Phung Hoang Digital Technologies</cp:lastModifiedBy>
  <dcterms:created xsi:type="dcterms:W3CDTF">2026-05-17T00:34:47Z</dcterms:created>
  <dcterms:modified xsi:type="dcterms:W3CDTF">2026-05-17T00:34:47Z</dcterms:modified>
</cp:coreProperties>
</file>